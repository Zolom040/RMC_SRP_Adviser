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F:\Repositorium\RMC_SRP_Adviser\RMC_SRP_Adviser\"/>
    </mc:Choice>
  </mc:AlternateContent>
  <xr:revisionPtr revIDLastSave="0" documentId="13_ncr:1_{E53D831F-92B0-4F14-A9C8-9CC36FD7E72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ain" sheetId="1" r:id="rId1"/>
    <sheet name="Links for check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3" l="1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E7" i="3" s="1"/>
  <c r="D7" i="1" s="1"/>
  <c r="D6" i="3"/>
  <c r="C6" i="3"/>
  <c r="D5" i="3"/>
  <c r="C5" i="3"/>
  <c r="D4" i="3"/>
  <c r="C4" i="3"/>
  <c r="D3" i="3"/>
  <c r="C3" i="3"/>
  <c r="D2" i="3"/>
  <c r="C2" i="3"/>
  <c r="E4" i="3" l="1"/>
  <c r="D4" i="1" s="1"/>
  <c r="E21" i="3"/>
  <c r="D21" i="1" s="1"/>
  <c r="E9" i="3"/>
  <c r="D9" i="1" s="1"/>
  <c r="E25" i="3"/>
  <c r="D25" i="1" s="1"/>
  <c r="E10" i="3"/>
  <c r="D10" i="1" s="1"/>
  <c r="E29" i="3"/>
  <c r="D29" i="1" s="1"/>
  <c r="E3" i="3"/>
  <c r="D3" i="1" s="1"/>
  <c r="E22" i="3"/>
  <c r="D22" i="1" s="1"/>
  <c r="E30" i="3"/>
  <c r="D30" i="1" s="1"/>
  <c r="E15" i="3"/>
  <c r="D15" i="1" s="1"/>
  <c r="E23" i="3"/>
  <c r="D23" i="1" s="1"/>
  <c r="E16" i="3"/>
  <c r="D16" i="1" s="1"/>
  <c r="E24" i="3"/>
  <c r="D24" i="1" s="1"/>
  <c r="E18" i="3"/>
  <c r="D18" i="1" s="1"/>
  <c r="E26" i="3"/>
  <c r="D26" i="1" s="1"/>
  <c r="E11" i="3"/>
  <c r="D11" i="1" s="1"/>
  <c r="E19" i="3"/>
  <c r="D19" i="1" s="1"/>
  <c r="E27" i="3"/>
  <c r="D27" i="1" s="1"/>
  <c r="E20" i="3"/>
  <c r="D20" i="1" s="1"/>
  <c r="E28" i="3"/>
  <c r="D28" i="1" s="1"/>
  <c r="C31" i="3"/>
  <c r="E17" i="3"/>
  <c r="D17" i="1" s="1"/>
  <c r="E12" i="3"/>
  <c r="D12" i="1" s="1"/>
  <c r="D31" i="3"/>
  <c r="E5" i="3"/>
  <c r="D5" i="1" s="1"/>
  <c r="E13" i="3"/>
  <c r="D13" i="1" s="1"/>
  <c r="E6" i="3"/>
  <c r="D6" i="1" s="1"/>
  <c r="E14" i="3"/>
  <c r="D14" i="1" s="1"/>
  <c r="E8" i="3"/>
  <c r="D8" i="1" s="1"/>
  <c r="E2" i="3"/>
  <c r="E31" i="3" l="1"/>
  <c r="D2" i="1"/>
</calcChain>
</file>

<file path=xl/sharedStrings.xml><?xml version="1.0" encoding="utf-8"?>
<sst xmlns="http://schemas.openxmlformats.org/spreadsheetml/2006/main" count="707" uniqueCount="273">
  <si>
    <t>ID</t>
  </si>
  <si>
    <t>Name</t>
  </si>
  <si>
    <t>Aliance</t>
  </si>
  <si>
    <t>total_cost</t>
  </si>
  <si>
    <t>natur_compens_ids</t>
  </si>
  <si>
    <t>tema zik</t>
  </si>
  <si>
    <t>-GFC-</t>
  </si>
  <si>
    <t>[]</t>
  </si>
  <si>
    <t>Juklopo</t>
  </si>
  <si>
    <t>2LATE</t>
  </si>
  <si>
    <t>Berfert</t>
  </si>
  <si>
    <t>RED</t>
  </si>
  <si>
    <t>BulldozaurZ02</t>
  </si>
  <si>
    <t>FX-8320E</t>
  </si>
  <si>
    <t>['33820']</t>
  </si>
  <si>
    <t>Ghekonu</t>
  </si>
  <si>
    <t>['17736']</t>
  </si>
  <si>
    <t>Hose Gonsales</t>
  </si>
  <si>
    <t>Joy Ups</t>
  </si>
  <si>
    <t>Kamashtli</t>
  </si>
  <si>
    <t>Leonid Costa</t>
  </si>
  <si>
    <t>Lucian Stormglaive</t>
  </si>
  <si>
    <t>Neseir</t>
  </si>
  <si>
    <t>Quasari Mio</t>
  </si>
  <si>
    <t>R0NlN BIA</t>
  </si>
  <si>
    <t>SemenB</t>
  </si>
  <si>
    <t>Sergey Bubnovs</t>
  </si>
  <si>
    <t>Sirena Redana</t>
  </si>
  <si>
    <t>Vasim Vio</t>
  </si>
  <si>
    <t>alexpererva2022</t>
  </si>
  <si>
    <t>antonio088</t>
  </si>
  <si>
    <t>begi kaknikogda</t>
  </si>
  <si>
    <t>panksteris</t>
  </si>
  <si>
    <t>MeckaJIuH</t>
  </si>
  <si>
    <t>RED-M</t>
  </si>
  <si>
    <t>Bulletproof GooD</t>
  </si>
  <si>
    <t>RUS</t>
  </si>
  <si>
    <t>Idite Lesom</t>
  </si>
  <si>
    <t>Rast Khamm</t>
  </si>
  <si>
    <t>Rigor Kion</t>
  </si>
  <si>
    <t>Sergey Ebolfer Arjar</t>
  </si>
  <si>
    <t>guinplenn</t>
  </si>
  <si>
    <t>Link Type</t>
  </si>
  <si>
    <t>Cost</t>
  </si>
  <si>
    <t>ktime</t>
  </si>
  <si>
    <t>Link</t>
  </si>
  <si>
    <t>tackle_links</t>
  </si>
  <si>
    <t>2025-04-14T05:58:05Z</t>
  </si>
  <si>
    <t>https://zkillboard.com/kill/126295192/</t>
  </si>
  <si>
    <t>LightShip_links</t>
  </si>
  <si>
    <t>2025-04-14T05:36:35Z</t>
  </si>
  <si>
    <t>https://zkillboard.com/kill/126294995/</t>
  </si>
  <si>
    <t>2025-04-06T10:07:45Z</t>
  </si>
  <si>
    <t>https://zkillboard.com/kill/126106412/</t>
  </si>
  <si>
    <t>support_links</t>
  </si>
  <si>
    <t>2025-04-10T18:18:53Z</t>
  </si>
  <si>
    <t>https://zkillboard.com/kill/126197262/</t>
  </si>
  <si>
    <t>2025-04-01T18:26:16Z</t>
  </si>
  <si>
    <t>https://zkillboard.com/kill/125995933/</t>
  </si>
  <si>
    <t>2025-04-03T02:29:40Z</t>
  </si>
  <si>
    <t>https://zkillboard.com/kill/126024399/</t>
  </si>
  <si>
    <t>2025-04-01T18:18:53Z</t>
  </si>
  <si>
    <t>https://zkillboard.com/kill/125995767/</t>
  </si>
  <si>
    <t>valuble_links</t>
  </si>
  <si>
    <t>2025-04-03T02:16:49Z</t>
  </si>
  <si>
    <t>https://zkillboard.com/kill/126024142/</t>
  </si>
  <si>
    <t>2025-04-30T15:55:56Z</t>
  </si>
  <si>
    <t>https://zkillboard.com/kill/126699322/</t>
  </si>
  <si>
    <t>2025-04-30T15:37:29Z</t>
  </si>
  <si>
    <t>https://zkillboard.com/kill/126698903/</t>
  </si>
  <si>
    <t>2025-04-30T16:04:07Z</t>
  </si>
  <si>
    <t>https://zkillboard.com/kill/126699528/</t>
  </si>
  <si>
    <t>2025-04-24T14:50:33Z</t>
  </si>
  <si>
    <t>https://zkillboard.com/kill/126542989/</t>
  </si>
  <si>
    <t>2025-04-21T09:15:11Z</t>
  </si>
  <si>
    <t>https://zkillboard.com/kill/126467608/</t>
  </si>
  <si>
    <t>2025-04-20T13:15:11Z</t>
  </si>
  <si>
    <t>https://zkillboard.com/kill/126444089/</t>
  </si>
  <si>
    <t>2025-04-20T12:59:58Z</t>
  </si>
  <si>
    <t>https://zkillboard.com/kill/126443728/</t>
  </si>
  <si>
    <t>2025-04-20T01:43:55Z</t>
  </si>
  <si>
    <t>https://zkillboard.com/kill/126433030/</t>
  </si>
  <si>
    <t>2025-04-14T13:18:19Z</t>
  </si>
  <si>
    <t>https://zkillboard.com/kill/126300574/</t>
  </si>
  <si>
    <t>2025-04-07T13:32:12Z</t>
  </si>
  <si>
    <t>https://zkillboard.com/kill/126133484/</t>
  </si>
  <si>
    <t>2025-04-05T17:27:27Z</t>
  </si>
  <si>
    <t>https://zkillboard.com/kill/126086275/</t>
  </si>
  <si>
    <t>2025-04-05T12:24:01Z</t>
  </si>
  <si>
    <t>https://zkillboard.com/kill/126076539/</t>
  </si>
  <si>
    <t>2025-04-03T15:19:38Z</t>
  </si>
  <si>
    <t>https://zkillboard.com/kill/126033409/</t>
  </si>
  <si>
    <t>2025-04-01T18:22:53Z</t>
  </si>
  <si>
    <t>https://zkillboard.com/kill/125995855/</t>
  </si>
  <si>
    <t>2025-04-02T19:47:33Z</t>
  </si>
  <si>
    <t>https://zkillboard.com/kill/126018424/</t>
  </si>
  <si>
    <t>2025-04-30T15:37:11Z</t>
  </si>
  <si>
    <t>https://zkillboard.com/kill/126698897/</t>
  </si>
  <si>
    <t>2025-04-30T16:09:09Z</t>
  </si>
  <si>
    <t>https://zkillboard.com/kill/126699646/</t>
  </si>
  <si>
    <t>2025-04-30T16:06:03Z</t>
  </si>
  <si>
    <t>https://zkillboard.com/kill/126699568/</t>
  </si>
  <si>
    <t>2025-04-06T18:57:20Z</t>
  </si>
  <si>
    <t>https://zkillboard.com/kill/126118178/</t>
  </si>
  <si>
    <t>2025-04-03T01:56:12Z</t>
  </si>
  <si>
    <t>https://zkillboard.com/kill/126023755/</t>
  </si>
  <si>
    <t>dps_links</t>
  </si>
  <si>
    <t>2025-04-20T13:27:24Z</t>
  </si>
  <si>
    <t>https://zkillboard.com/kill/126444394/</t>
  </si>
  <si>
    <t>2025-04-20T13:15:01Z</t>
  </si>
  <si>
    <t>https://zkillboard.com/kill/126444081/</t>
  </si>
  <si>
    <t>2025-04-12T14:11:17Z</t>
  </si>
  <si>
    <t>https://zkillboard.com/kill/126240395/</t>
  </si>
  <si>
    <t>2025-04-20T13:27:13Z</t>
  </si>
  <si>
    <t>https://zkillboard.com/kill/126444383/</t>
  </si>
  <si>
    <t>2025-04-27T19:20:11Z</t>
  </si>
  <si>
    <t>https://zkillboard.com/kill/126634180/</t>
  </si>
  <si>
    <t>2025-04-25T21:01:58Z</t>
  </si>
  <si>
    <t>https://zkillboard.com/kill/126575440/</t>
  </si>
  <si>
    <t>2025-04-27T18:19:49Z</t>
  </si>
  <si>
    <t>https://zkillboard.com/kill/126632553/</t>
  </si>
  <si>
    <t>2025-04-27T15:10:31Z</t>
  </si>
  <si>
    <t>https://zkillboard.com/kill/126627034/</t>
  </si>
  <si>
    <t>2025-04-27T14:12:18Z</t>
  </si>
  <si>
    <t>https://zkillboard.com/kill/126625612/</t>
  </si>
  <si>
    <t>2025-04-27T12:57:57Z</t>
  </si>
  <si>
    <t>https://zkillboard.com/kill/126623490/</t>
  </si>
  <si>
    <t>2025-04-26T22:29:31Z</t>
  </si>
  <si>
    <t>https://zkillboard.com/kill/126608864/</t>
  </si>
  <si>
    <t>2025-04-26T21:48:36Z</t>
  </si>
  <si>
    <t>https://zkillboard.com/kill/126607770/</t>
  </si>
  <si>
    <t>2025-04-26T18:59:06Z</t>
  </si>
  <si>
    <t>https://zkillboard.com/kill/126602108/</t>
  </si>
  <si>
    <t>2025-04-25T21:49:19Z</t>
  </si>
  <si>
    <t>https://zkillboard.com/kill/126576509/</t>
  </si>
  <si>
    <t>2025-04-24T20:29:28Z</t>
  </si>
  <si>
    <t>https://zkillboard.com/kill/126549972/</t>
  </si>
  <si>
    <t>2025-04-24T20:19:14Z</t>
  </si>
  <si>
    <t>https://zkillboard.com/kill/126549752/</t>
  </si>
  <si>
    <t>2025-04-24T19:45:05Z</t>
  </si>
  <si>
    <t>https://zkillboard.com/kill/126548938/</t>
  </si>
  <si>
    <t>2025-04-23T19:07:10Z</t>
  </si>
  <si>
    <t>https://zkillboard.com/kill/126524631/</t>
  </si>
  <si>
    <t>2025-04-23T18:55:28Z</t>
  </si>
  <si>
    <t>https://zkillboard.com/kill/126524426/</t>
  </si>
  <si>
    <t>2025-04-22T22:29:41Z</t>
  </si>
  <si>
    <t>https://zkillboard.com/kill/126505346/</t>
  </si>
  <si>
    <t>2025-04-22T22:12:25Z</t>
  </si>
  <si>
    <t>https://zkillboard.com/kill/126505025/</t>
  </si>
  <si>
    <t>2025-04-22T21:49:31Z</t>
  </si>
  <si>
    <t>https://zkillboard.com/kill/126504611/</t>
  </si>
  <si>
    <t>2025-04-22T21:27:06Z</t>
  </si>
  <si>
    <t>https://zkillboard.com/kill/126504241/</t>
  </si>
  <si>
    <t>2025-04-22T21:24:33Z</t>
  </si>
  <si>
    <t>https://zkillboard.com/kill/126504192/</t>
  </si>
  <si>
    <t>2025-04-22T21:22:00Z</t>
  </si>
  <si>
    <t>https://zkillboard.com/kill/126504146/</t>
  </si>
  <si>
    <t>2025-04-22T20:05:52Z</t>
  </si>
  <si>
    <t>https://zkillboard.com/kill/126502627/</t>
  </si>
  <si>
    <t>2025-04-22T19:00:57Z</t>
  </si>
  <si>
    <t>https://zkillboard.com/kill/126501250/</t>
  </si>
  <si>
    <t>2025-04-22T16:09:23Z</t>
  </si>
  <si>
    <t>https://zkillboard.com/kill/126498094/</t>
  </si>
  <si>
    <t>2025-04-22T00:46:28Z</t>
  </si>
  <si>
    <t>https://zkillboard.com/kill/126485912/</t>
  </si>
  <si>
    <t>2025-04-22T00:32:42Z</t>
  </si>
  <si>
    <t>https://zkillboard.com/kill/126485754/</t>
  </si>
  <si>
    <t>2025-04-22T00:05:23Z</t>
  </si>
  <si>
    <t>https://zkillboard.com/kill/126485420/</t>
  </si>
  <si>
    <t>2025-04-21T23:58:10Z</t>
  </si>
  <si>
    <t>https://zkillboard.com/kill/126485365/</t>
  </si>
  <si>
    <t>2025-04-21T23:52:43Z</t>
  </si>
  <si>
    <t>https://zkillboard.com/kill/126485318/</t>
  </si>
  <si>
    <t>2025-04-21T23:48:55Z</t>
  </si>
  <si>
    <t>https://zkillboard.com/kill/126485278/</t>
  </si>
  <si>
    <t>2025-04-21T22:49:43Z</t>
  </si>
  <si>
    <t>https://zkillboard.com/kill/126484369/</t>
  </si>
  <si>
    <t>2025-04-21T22:43:22Z</t>
  </si>
  <si>
    <t>https://zkillboard.com/kill/126484300/</t>
  </si>
  <si>
    <t>2025-04-21T22:38:57Z</t>
  </si>
  <si>
    <t>https://zkillboard.com/kill/126484256/</t>
  </si>
  <si>
    <t>2025-04-21T22:34:07Z</t>
  </si>
  <si>
    <t>https://zkillboard.com/kill/126484171/</t>
  </si>
  <si>
    <t>2025-04-21T22:19:51Z</t>
  </si>
  <si>
    <t>https://zkillboard.com/kill/126483969/</t>
  </si>
  <si>
    <t>2025-04-21T21:18:20Z</t>
  </si>
  <si>
    <t>https://zkillboard.com/kill/126482869/</t>
  </si>
  <si>
    <t>2025-04-21T21:11:40Z</t>
  </si>
  <si>
    <t>https://zkillboard.com/kill/126482699/</t>
  </si>
  <si>
    <t>2025-04-21T21:08:13Z</t>
  </si>
  <si>
    <t>https://zkillboard.com/kill/126482628/</t>
  </si>
  <si>
    <t>2025-04-19T15:24:10Z</t>
  </si>
  <si>
    <t>https://zkillboard.com/kill/126418470/</t>
  </si>
  <si>
    <t>2025-04-19T14:45:58Z</t>
  </si>
  <si>
    <t>https://zkillboard.com/kill/126417608/</t>
  </si>
  <si>
    <t>2025-04-19T14:42:34Z</t>
  </si>
  <si>
    <t>https://zkillboard.com/kill/126417556/</t>
  </si>
  <si>
    <t>2025-04-19T13:13:09Z</t>
  </si>
  <si>
    <t>https://zkillboard.com/kill/126415649/</t>
  </si>
  <si>
    <t>2025-04-18T23:40:26Z</t>
  </si>
  <si>
    <t>https://zkillboard.com/kill/126403208/</t>
  </si>
  <si>
    <t>2025-04-18T22:32:56Z</t>
  </si>
  <si>
    <t>https://zkillboard.com/kill/126401864/</t>
  </si>
  <si>
    <t>2025-04-18T22:07:52Z</t>
  </si>
  <si>
    <t>https://zkillboard.com/kill/126401375/</t>
  </si>
  <si>
    <t>2025-04-18T10:10:29Z</t>
  </si>
  <si>
    <t>https://zkillboard.com/kill/126384393/</t>
  </si>
  <si>
    <t>2025-04-18T08:27:09Z</t>
  </si>
  <si>
    <t>https://zkillboard.com/kill/126383191/</t>
  </si>
  <si>
    <t>2025-04-18T08:13:43Z</t>
  </si>
  <si>
    <t>https://zkillboard.com/kill/126383006/</t>
  </si>
  <si>
    <t>2025-04-25T20:23:38Z</t>
  </si>
  <si>
    <t>https://zkillboard.com/kill/126574140/</t>
  </si>
  <si>
    <t>2025-04-20T18:47:25Z</t>
  </si>
  <si>
    <t>https://zkillboard.com/kill/126451929/</t>
  </si>
  <si>
    <t>2025-04-28T23:58:32Z</t>
  </si>
  <si>
    <t>https://zkillboard.com/kill/126663416/</t>
  </si>
  <si>
    <t>2025-04-25T19:15:35Z</t>
  </si>
  <si>
    <t>https://zkillboard.com/kill/126572560/</t>
  </si>
  <si>
    <t>2025-04-25T18:58:15Z</t>
  </si>
  <si>
    <t>https://zkillboard.com/kill/126572191/</t>
  </si>
  <si>
    <t>2025-04-18T20:44:36Z</t>
  </si>
  <si>
    <t>https://zkillboard.com/kill/126399197/</t>
  </si>
  <si>
    <t>2025-04-18T14:23:40Z</t>
  </si>
  <si>
    <t>https://zkillboard.com/kill/126388995/</t>
  </si>
  <si>
    <t>2025-04-13T17:01:16Z</t>
  </si>
  <si>
    <t>https://zkillboard.com/kill/126278734/</t>
  </si>
  <si>
    <t>2025-04-13T14:27:50Z</t>
  </si>
  <si>
    <t>https://zkillboard.com/kill/126274541/</t>
  </si>
  <si>
    <t>2025-04-12T18:20:11Z</t>
  </si>
  <si>
    <t>https://zkillboard.com/kill/126247096/</t>
  </si>
  <si>
    <t>2025-04-12T14:01:34Z</t>
  </si>
  <si>
    <t>https://zkillboard.com/kill/126240115/</t>
  </si>
  <si>
    <t>2025-04-08T19:41:34Z</t>
  </si>
  <si>
    <t>https://zkillboard.com/kill/126160130/</t>
  </si>
  <si>
    <t>2025-04-08T14:19:45Z</t>
  </si>
  <si>
    <t>https://zkillboard.com/kill/126154771/</t>
  </si>
  <si>
    <t>2025-04-30T16:14:12Z</t>
  </si>
  <si>
    <t>https://zkillboard.com/kill/126699793/</t>
  </si>
  <si>
    <t>2025-04-30T15:57:24Z</t>
  </si>
  <si>
    <t>https://zkillboard.com/kill/126699352/</t>
  </si>
  <si>
    <t>2025-04-30T15:48:04Z</t>
  </si>
  <si>
    <t>https://zkillboard.com/kill/126699094/</t>
  </si>
  <si>
    <t>2025-04-30T15:29:14Z</t>
  </si>
  <si>
    <t>https://zkillboard.com/kill/126698712/</t>
  </si>
  <si>
    <t>2025-04-30T16:13:16Z</t>
  </si>
  <si>
    <t>https://zkillboard.com/kill/126699764/</t>
  </si>
  <si>
    <t>2025-04-30T15:37:54Z</t>
  </si>
  <si>
    <t>https://zkillboard.com/kill/126698917/</t>
  </si>
  <si>
    <t>2025-04-14T19:11:50Z</t>
  </si>
  <si>
    <t>https://zkillboard.com/kill/126307997/</t>
  </si>
  <si>
    <t>2025-04-18T17:20:14Z</t>
  </si>
  <si>
    <t>https://zkillboard.com/kill/126393530/</t>
  </si>
  <si>
    <t>2025-04-03T01:57:10Z</t>
  </si>
  <si>
    <t>https://zkillboard.com/kill/126023768/</t>
  </si>
  <si>
    <t>2025-04-20T13:13:17Z</t>
  </si>
  <si>
    <t>https://zkillboard.com/kill/126444035/</t>
  </si>
  <si>
    <t>2025-04-06T19:01:06Z</t>
  </si>
  <si>
    <t>https://zkillboard.com/kill/126118270/</t>
  </si>
  <si>
    <t>2025-04-20T13:27:25Z</t>
  </si>
  <si>
    <t>https://zkillboard.com/kill/126444395/</t>
  </si>
  <si>
    <t>2025-04-20T13:21:49Z</t>
  </si>
  <si>
    <t>https://zkillboard.com/kill/126444263/</t>
  </si>
  <si>
    <t>2025-04-20T13:14:48Z</t>
  </si>
  <si>
    <t>https://zkillboard.com/kill/126444078/</t>
  </si>
  <si>
    <t>2025-04-20T13:26:54Z</t>
  </si>
  <si>
    <t>https://zkillboard.com/kill/126444380/</t>
  </si>
  <si>
    <t>2025-04-20T13:14:38Z</t>
  </si>
  <si>
    <t>https://zkillboard.com/kill/126444075/</t>
  </si>
  <si>
    <t>Formation ships sum</t>
  </si>
  <si>
    <t>Small ships sum</t>
  </si>
  <si>
    <t>Total sum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</si>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</sst>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1" fillId="0" borderId="0" xfId="0" applyFont="1"/>
    <xf numFmtId="0" fontId="2" fillId="0" borderId="0" xfId="1"/>
    <xf numFmtId="4" fontId="1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zkillboard.com/kill/126698897/" TargetMode="External"/><Relationship Id="rId21" Type="http://schemas.openxmlformats.org/officeDocument/2006/relationships/hyperlink" Target="https://zkillboard.com/kill/126086275/" TargetMode="External"/><Relationship Id="rId42" Type="http://schemas.openxmlformats.org/officeDocument/2006/relationships/hyperlink" Target="https://zkillboard.com/kill/126602108/" TargetMode="External"/><Relationship Id="rId47" Type="http://schemas.openxmlformats.org/officeDocument/2006/relationships/hyperlink" Target="https://zkillboard.com/kill/126524631/" TargetMode="External"/><Relationship Id="rId63" Type="http://schemas.openxmlformats.org/officeDocument/2006/relationships/hyperlink" Target="https://zkillboard.com/kill/126485278/" TargetMode="External"/><Relationship Id="rId68" Type="http://schemas.openxmlformats.org/officeDocument/2006/relationships/hyperlink" Target="https://zkillboard.com/kill/126483969/" TargetMode="External"/><Relationship Id="rId84" Type="http://schemas.openxmlformats.org/officeDocument/2006/relationships/hyperlink" Target="https://zkillboard.com/kill/126663416/" TargetMode="External"/><Relationship Id="rId89" Type="http://schemas.openxmlformats.org/officeDocument/2006/relationships/hyperlink" Target="https://zkillboard.com/kill/126278734/" TargetMode="External"/><Relationship Id="rId16" Type="http://schemas.openxmlformats.org/officeDocument/2006/relationships/hyperlink" Target="https://zkillboard.com/kill/126444089/" TargetMode="External"/><Relationship Id="rId107" Type="http://schemas.openxmlformats.org/officeDocument/2006/relationships/hyperlink" Target="https://zkillboard.com/kill/126444078/" TargetMode="External"/><Relationship Id="rId11" Type="http://schemas.openxmlformats.org/officeDocument/2006/relationships/hyperlink" Target="https://zkillboard.com/kill/126024399/" TargetMode="External"/><Relationship Id="rId32" Type="http://schemas.openxmlformats.org/officeDocument/2006/relationships/hyperlink" Target="https://zkillboard.com/kill/126240395/" TargetMode="External"/><Relationship Id="rId37" Type="http://schemas.openxmlformats.org/officeDocument/2006/relationships/hyperlink" Target="https://zkillboard.com/kill/126627034/" TargetMode="External"/><Relationship Id="rId53" Type="http://schemas.openxmlformats.org/officeDocument/2006/relationships/hyperlink" Target="https://zkillboard.com/kill/126504192/" TargetMode="External"/><Relationship Id="rId58" Type="http://schemas.openxmlformats.org/officeDocument/2006/relationships/hyperlink" Target="https://zkillboard.com/kill/126485912/" TargetMode="External"/><Relationship Id="rId74" Type="http://schemas.openxmlformats.org/officeDocument/2006/relationships/hyperlink" Target="https://zkillboard.com/kill/126417556/" TargetMode="External"/><Relationship Id="rId79" Type="http://schemas.openxmlformats.org/officeDocument/2006/relationships/hyperlink" Target="https://zkillboard.com/kill/126383191/" TargetMode="External"/><Relationship Id="rId102" Type="http://schemas.openxmlformats.org/officeDocument/2006/relationships/hyperlink" Target="https://zkillboard.com/kill/126023768/" TargetMode="External"/><Relationship Id="rId5" Type="http://schemas.openxmlformats.org/officeDocument/2006/relationships/hyperlink" Target="https://zkillboard.com/kill/126699322/" TargetMode="External"/><Relationship Id="rId90" Type="http://schemas.openxmlformats.org/officeDocument/2006/relationships/hyperlink" Target="https://zkillboard.com/kill/126274541/" TargetMode="External"/><Relationship Id="rId95" Type="http://schemas.openxmlformats.org/officeDocument/2006/relationships/hyperlink" Target="https://zkillboard.com/kill/126699352/" TargetMode="External"/><Relationship Id="rId22" Type="http://schemas.openxmlformats.org/officeDocument/2006/relationships/hyperlink" Target="https://zkillboard.com/kill/126076539/" TargetMode="External"/><Relationship Id="rId27" Type="http://schemas.openxmlformats.org/officeDocument/2006/relationships/hyperlink" Target="https://zkillboard.com/kill/126699646/" TargetMode="External"/><Relationship Id="rId43" Type="http://schemas.openxmlformats.org/officeDocument/2006/relationships/hyperlink" Target="https://zkillboard.com/kill/126576509/" TargetMode="External"/><Relationship Id="rId48" Type="http://schemas.openxmlformats.org/officeDocument/2006/relationships/hyperlink" Target="https://zkillboard.com/kill/126524426/" TargetMode="External"/><Relationship Id="rId64" Type="http://schemas.openxmlformats.org/officeDocument/2006/relationships/hyperlink" Target="https://zkillboard.com/kill/126484369/" TargetMode="External"/><Relationship Id="rId69" Type="http://schemas.openxmlformats.org/officeDocument/2006/relationships/hyperlink" Target="https://zkillboard.com/kill/126482869/" TargetMode="External"/><Relationship Id="rId80" Type="http://schemas.openxmlformats.org/officeDocument/2006/relationships/hyperlink" Target="https://zkillboard.com/kill/126384393/" TargetMode="External"/><Relationship Id="rId85" Type="http://schemas.openxmlformats.org/officeDocument/2006/relationships/hyperlink" Target="https://zkillboard.com/kill/126572560/" TargetMode="External"/><Relationship Id="rId12" Type="http://schemas.openxmlformats.org/officeDocument/2006/relationships/hyperlink" Target="https://zkillboard.com/kill/125995767/" TargetMode="External"/><Relationship Id="rId17" Type="http://schemas.openxmlformats.org/officeDocument/2006/relationships/hyperlink" Target="https://zkillboard.com/kill/126443728/" TargetMode="External"/><Relationship Id="rId33" Type="http://schemas.openxmlformats.org/officeDocument/2006/relationships/hyperlink" Target="https://zkillboard.com/kill/126444383/" TargetMode="External"/><Relationship Id="rId38" Type="http://schemas.openxmlformats.org/officeDocument/2006/relationships/hyperlink" Target="https://zkillboard.com/kill/126625612/" TargetMode="External"/><Relationship Id="rId59" Type="http://schemas.openxmlformats.org/officeDocument/2006/relationships/hyperlink" Target="https://zkillboard.com/kill/126485754/" TargetMode="External"/><Relationship Id="rId103" Type="http://schemas.openxmlformats.org/officeDocument/2006/relationships/hyperlink" Target="https://zkillboard.com/kill/126444035/" TargetMode="External"/><Relationship Id="rId108" Type="http://schemas.openxmlformats.org/officeDocument/2006/relationships/hyperlink" Target="https://zkillboard.com/kill/126444380/" TargetMode="External"/><Relationship Id="rId54" Type="http://schemas.openxmlformats.org/officeDocument/2006/relationships/hyperlink" Target="https://zkillboard.com/kill/126504146/" TargetMode="External"/><Relationship Id="rId70" Type="http://schemas.openxmlformats.org/officeDocument/2006/relationships/hyperlink" Target="https://zkillboard.com/kill/126482628/" TargetMode="External"/><Relationship Id="rId75" Type="http://schemas.openxmlformats.org/officeDocument/2006/relationships/hyperlink" Target="https://zkillboard.com/kill/126415649/" TargetMode="External"/><Relationship Id="rId91" Type="http://schemas.openxmlformats.org/officeDocument/2006/relationships/hyperlink" Target="https://zkillboard.com/kill/126247096/" TargetMode="External"/><Relationship Id="rId96" Type="http://schemas.openxmlformats.org/officeDocument/2006/relationships/hyperlink" Target="https://zkillboard.com/kill/126699094/" TargetMode="External"/><Relationship Id="rId1" Type="http://schemas.openxmlformats.org/officeDocument/2006/relationships/hyperlink" Target="https://zkillboard.com/kill/126698917/" TargetMode="External"/><Relationship Id="rId6" Type="http://schemas.openxmlformats.org/officeDocument/2006/relationships/hyperlink" Target="https://zkillboard.com/kill/126295192/" TargetMode="External"/><Relationship Id="rId15" Type="http://schemas.openxmlformats.org/officeDocument/2006/relationships/hyperlink" Target="https://zkillboard.com/kill/126467608/" TargetMode="External"/><Relationship Id="rId23" Type="http://schemas.openxmlformats.org/officeDocument/2006/relationships/hyperlink" Target="https://zkillboard.com/kill/126033409/" TargetMode="External"/><Relationship Id="rId28" Type="http://schemas.openxmlformats.org/officeDocument/2006/relationships/hyperlink" Target="https://zkillboard.com/kill/126699568/" TargetMode="External"/><Relationship Id="rId36" Type="http://schemas.openxmlformats.org/officeDocument/2006/relationships/hyperlink" Target="https://zkillboard.com/kill/126632553/" TargetMode="External"/><Relationship Id="rId49" Type="http://schemas.openxmlformats.org/officeDocument/2006/relationships/hyperlink" Target="https://zkillboard.com/kill/126505346/" TargetMode="External"/><Relationship Id="rId57" Type="http://schemas.openxmlformats.org/officeDocument/2006/relationships/hyperlink" Target="https://zkillboard.com/kill/126498094/" TargetMode="External"/><Relationship Id="rId106" Type="http://schemas.openxmlformats.org/officeDocument/2006/relationships/hyperlink" Target="https://zkillboard.com/kill/126444263/" TargetMode="External"/><Relationship Id="rId10" Type="http://schemas.openxmlformats.org/officeDocument/2006/relationships/hyperlink" Target="https://zkillboard.com/kill/125995933/" TargetMode="External"/><Relationship Id="rId31" Type="http://schemas.openxmlformats.org/officeDocument/2006/relationships/hyperlink" Target="https://zkillboard.com/kill/126444081/" TargetMode="External"/><Relationship Id="rId44" Type="http://schemas.openxmlformats.org/officeDocument/2006/relationships/hyperlink" Target="https://zkillboard.com/kill/126549972/" TargetMode="External"/><Relationship Id="rId52" Type="http://schemas.openxmlformats.org/officeDocument/2006/relationships/hyperlink" Target="https://zkillboard.com/kill/126504241/" TargetMode="External"/><Relationship Id="rId60" Type="http://schemas.openxmlformats.org/officeDocument/2006/relationships/hyperlink" Target="https://zkillboard.com/kill/126485420/" TargetMode="External"/><Relationship Id="rId65" Type="http://schemas.openxmlformats.org/officeDocument/2006/relationships/hyperlink" Target="https://zkillboard.com/kill/126484300/" TargetMode="External"/><Relationship Id="rId73" Type="http://schemas.openxmlformats.org/officeDocument/2006/relationships/hyperlink" Target="https://zkillboard.com/kill/126417608/" TargetMode="External"/><Relationship Id="rId78" Type="http://schemas.openxmlformats.org/officeDocument/2006/relationships/hyperlink" Target="https://zkillboard.com/kill/126401375/" TargetMode="External"/><Relationship Id="rId81" Type="http://schemas.openxmlformats.org/officeDocument/2006/relationships/hyperlink" Target="https://zkillboard.com/kill/126383006/" TargetMode="External"/><Relationship Id="rId86" Type="http://schemas.openxmlformats.org/officeDocument/2006/relationships/hyperlink" Target="https://zkillboard.com/kill/126572191/" TargetMode="External"/><Relationship Id="rId94" Type="http://schemas.openxmlformats.org/officeDocument/2006/relationships/hyperlink" Target="https://zkillboard.com/kill/126699793/" TargetMode="External"/><Relationship Id="rId99" Type="http://schemas.openxmlformats.org/officeDocument/2006/relationships/hyperlink" Target="https://zkillboard.com/kill/126154771/" TargetMode="External"/><Relationship Id="rId101" Type="http://schemas.openxmlformats.org/officeDocument/2006/relationships/hyperlink" Target="https://zkillboard.com/kill/126393530/" TargetMode="External"/><Relationship Id="rId4" Type="http://schemas.openxmlformats.org/officeDocument/2006/relationships/hyperlink" Target="https://zkillboard.com/kill/126024142/" TargetMode="External"/><Relationship Id="rId9" Type="http://schemas.openxmlformats.org/officeDocument/2006/relationships/hyperlink" Target="https://zkillboard.com/kill/126197262/" TargetMode="External"/><Relationship Id="rId13" Type="http://schemas.openxmlformats.org/officeDocument/2006/relationships/hyperlink" Target="https://zkillboard.com/kill/126699528/" TargetMode="External"/><Relationship Id="rId18" Type="http://schemas.openxmlformats.org/officeDocument/2006/relationships/hyperlink" Target="https://zkillboard.com/kill/126433030/" TargetMode="External"/><Relationship Id="rId39" Type="http://schemas.openxmlformats.org/officeDocument/2006/relationships/hyperlink" Target="https://zkillboard.com/kill/126623490/" TargetMode="External"/><Relationship Id="rId109" Type="http://schemas.openxmlformats.org/officeDocument/2006/relationships/hyperlink" Target="https://zkillboard.com/kill/126444075/" TargetMode="External"/><Relationship Id="rId34" Type="http://schemas.openxmlformats.org/officeDocument/2006/relationships/hyperlink" Target="https://zkillboard.com/kill/126634180/" TargetMode="External"/><Relationship Id="rId50" Type="http://schemas.openxmlformats.org/officeDocument/2006/relationships/hyperlink" Target="https://zkillboard.com/kill/126505025/" TargetMode="External"/><Relationship Id="rId55" Type="http://schemas.openxmlformats.org/officeDocument/2006/relationships/hyperlink" Target="https://zkillboard.com/kill/126502627/" TargetMode="External"/><Relationship Id="rId76" Type="http://schemas.openxmlformats.org/officeDocument/2006/relationships/hyperlink" Target="https://zkillboard.com/kill/126403208/" TargetMode="External"/><Relationship Id="rId97" Type="http://schemas.openxmlformats.org/officeDocument/2006/relationships/hyperlink" Target="https://zkillboard.com/kill/126698712/" TargetMode="External"/><Relationship Id="rId104" Type="http://schemas.openxmlformats.org/officeDocument/2006/relationships/hyperlink" Target="https://zkillboard.com/kill/126118270/" TargetMode="External"/><Relationship Id="rId7" Type="http://schemas.openxmlformats.org/officeDocument/2006/relationships/hyperlink" Target="https://zkillboard.com/kill/126294995/" TargetMode="External"/><Relationship Id="rId71" Type="http://schemas.openxmlformats.org/officeDocument/2006/relationships/hyperlink" Target="https://zkillboard.com/kill/126418470/" TargetMode="External"/><Relationship Id="rId92" Type="http://schemas.openxmlformats.org/officeDocument/2006/relationships/hyperlink" Target="https://zkillboard.com/kill/126240115/" TargetMode="External"/><Relationship Id="rId2" Type="http://schemas.openxmlformats.org/officeDocument/2006/relationships/hyperlink" Target="https://zkillboard.com/kill/126023755/" TargetMode="External"/><Relationship Id="rId29" Type="http://schemas.openxmlformats.org/officeDocument/2006/relationships/hyperlink" Target="https://zkillboard.com/kill/126118178/" TargetMode="External"/><Relationship Id="rId24" Type="http://schemas.openxmlformats.org/officeDocument/2006/relationships/hyperlink" Target="https://zkillboard.com/kill/125995855/" TargetMode="External"/><Relationship Id="rId40" Type="http://schemas.openxmlformats.org/officeDocument/2006/relationships/hyperlink" Target="https://zkillboard.com/kill/126608864/" TargetMode="External"/><Relationship Id="rId45" Type="http://schemas.openxmlformats.org/officeDocument/2006/relationships/hyperlink" Target="https://zkillboard.com/kill/126549752/" TargetMode="External"/><Relationship Id="rId66" Type="http://schemas.openxmlformats.org/officeDocument/2006/relationships/hyperlink" Target="https://zkillboard.com/kill/126484256/" TargetMode="External"/><Relationship Id="rId87" Type="http://schemas.openxmlformats.org/officeDocument/2006/relationships/hyperlink" Target="https://zkillboard.com/kill/126399197/" TargetMode="External"/><Relationship Id="rId61" Type="http://schemas.openxmlformats.org/officeDocument/2006/relationships/hyperlink" Target="https://zkillboard.com/kill/126485365/" TargetMode="External"/><Relationship Id="rId82" Type="http://schemas.openxmlformats.org/officeDocument/2006/relationships/hyperlink" Target="https://zkillboard.com/kill/126451929/" TargetMode="External"/><Relationship Id="rId19" Type="http://schemas.openxmlformats.org/officeDocument/2006/relationships/hyperlink" Target="https://zkillboard.com/kill/126300574/" TargetMode="External"/><Relationship Id="rId14" Type="http://schemas.openxmlformats.org/officeDocument/2006/relationships/hyperlink" Target="https://zkillboard.com/kill/126542989/" TargetMode="External"/><Relationship Id="rId30" Type="http://schemas.openxmlformats.org/officeDocument/2006/relationships/hyperlink" Target="https://zkillboard.com/kill/126444394/" TargetMode="External"/><Relationship Id="rId35" Type="http://schemas.openxmlformats.org/officeDocument/2006/relationships/hyperlink" Target="https://zkillboard.com/kill/126575440/" TargetMode="External"/><Relationship Id="rId56" Type="http://schemas.openxmlformats.org/officeDocument/2006/relationships/hyperlink" Target="https://zkillboard.com/kill/126501250/" TargetMode="External"/><Relationship Id="rId77" Type="http://schemas.openxmlformats.org/officeDocument/2006/relationships/hyperlink" Target="https://zkillboard.com/kill/126401864/" TargetMode="External"/><Relationship Id="rId100" Type="http://schemas.openxmlformats.org/officeDocument/2006/relationships/hyperlink" Target="https://zkillboard.com/kill/126307997/" TargetMode="External"/><Relationship Id="rId105" Type="http://schemas.openxmlformats.org/officeDocument/2006/relationships/hyperlink" Target="https://zkillboard.com/kill/126444395/" TargetMode="External"/><Relationship Id="rId8" Type="http://schemas.openxmlformats.org/officeDocument/2006/relationships/hyperlink" Target="https://zkillboard.com/kill/126106412/" TargetMode="External"/><Relationship Id="rId51" Type="http://schemas.openxmlformats.org/officeDocument/2006/relationships/hyperlink" Target="https://zkillboard.com/kill/126504611/" TargetMode="External"/><Relationship Id="rId72" Type="http://schemas.openxmlformats.org/officeDocument/2006/relationships/hyperlink" Target="https://zkillboard.com/kill/126482699/" TargetMode="External"/><Relationship Id="rId93" Type="http://schemas.openxmlformats.org/officeDocument/2006/relationships/hyperlink" Target="https://zkillboard.com/kill/126160130/" TargetMode="External"/><Relationship Id="rId98" Type="http://schemas.openxmlformats.org/officeDocument/2006/relationships/hyperlink" Target="https://zkillboard.com/kill/126699764/" TargetMode="External"/><Relationship Id="rId3" Type="http://schemas.openxmlformats.org/officeDocument/2006/relationships/hyperlink" Target="https://zkillboard.com/kill/126698903/" TargetMode="External"/><Relationship Id="rId25" Type="http://schemas.openxmlformats.org/officeDocument/2006/relationships/hyperlink" Target="https://zkillboard.com/kill/126018424/" TargetMode="External"/><Relationship Id="rId46" Type="http://schemas.openxmlformats.org/officeDocument/2006/relationships/hyperlink" Target="https://zkillboard.com/kill/126548938/" TargetMode="External"/><Relationship Id="rId67" Type="http://schemas.openxmlformats.org/officeDocument/2006/relationships/hyperlink" Target="https://zkillboard.com/kill/126484171/" TargetMode="External"/><Relationship Id="rId20" Type="http://schemas.openxmlformats.org/officeDocument/2006/relationships/hyperlink" Target="https://zkillboard.com/kill/126133484/" TargetMode="External"/><Relationship Id="rId41" Type="http://schemas.openxmlformats.org/officeDocument/2006/relationships/hyperlink" Target="https://zkillboard.com/kill/126607770/" TargetMode="External"/><Relationship Id="rId62" Type="http://schemas.openxmlformats.org/officeDocument/2006/relationships/hyperlink" Target="https://zkillboard.com/kill/126485318/" TargetMode="External"/><Relationship Id="rId83" Type="http://schemas.openxmlformats.org/officeDocument/2006/relationships/hyperlink" Target="https://zkillboard.com/kill/126574140/" TargetMode="External"/><Relationship Id="rId88" Type="http://schemas.openxmlformats.org/officeDocument/2006/relationships/hyperlink" Target="https://zkillboard.com/kill/1263889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2116149527</v>
      </c>
      <c r="B2" t="s">
        <v>5</v>
      </c>
      <c r="C2" t="s">
        <v>6</v>
      </c>
      <c r="D2" s="2">
        <f>Summary!E2</f>
        <v>0</v>
      </c>
      <c r="E2" t="s">
        <v>7</v>
      </c>
    </row>
    <row r="3" spans="1:5" x14ac:dyDescent="0.25">
      <c r="A3">
        <v>225767727</v>
      </c>
      <c r="B3" t="s">
        <v>8</v>
      </c>
      <c r="C3" t="s">
        <v>9</v>
      </c>
      <c r="D3" s="2">
        <f>Summary!E3</f>
        <v>727404769.38999999</v>
      </c>
      <c r="E3" t="s">
        <v>7</v>
      </c>
    </row>
    <row r="4" spans="1:5" x14ac:dyDescent="0.25">
      <c r="A4">
        <v>1306079948</v>
      </c>
      <c r="B4" t="s">
        <v>10</v>
      </c>
      <c r="C4" t="s">
        <v>11</v>
      </c>
      <c r="D4" s="2">
        <f>Summary!E4</f>
        <v>505993368.33999997</v>
      </c>
      <c r="E4" t="s">
        <v>7</v>
      </c>
    </row>
    <row r="5" spans="1:5" x14ac:dyDescent="0.25">
      <c r="A5">
        <v>2122019556</v>
      </c>
      <c r="B5" t="s">
        <v>12</v>
      </c>
      <c r="C5" t="s">
        <v>11</v>
      </c>
      <c r="D5" s="2">
        <f>Summary!E5</f>
        <v>261725992.11000001</v>
      </c>
      <c r="E5" t="s">
        <v>7</v>
      </c>
    </row>
    <row r="6" spans="1:5" x14ac:dyDescent="0.25">
      <c r="A6">
        <v>2118020839</v>
      </c>
      <c r="B6" t="s">
        <v>13</v>
      </c>
      <c r="C6" t="s">
        <v>11</v>
      </c>
      <c r="D6" s="2">
        <f>Summary!E6</f>
        <v>0</v>
      </c>
      <c r="E6" t="s">
        <v>14</v>
      </c>
    </row>
    <row r="7" spans="1:5" x14ac:dyDescent="0.25">
      <c r="A7">
        <v>2115172612</v>
      </c>
      <c r="B7" t="s">
        <v>15</v>
      </c>
      <c r="C7" t="s">
        <v>11</v>
      </c>
      <c r="D7" s="2">
        <f>Summary!E7</f>
        <v>-149706041.80000001</v>
      </c>
      <c r="E7" t="s">
        <v>16</v>
      </c>
    </row>
    <row r="8" spans="1:5" x14ac:dyDescent="0.25">
      <c r="A8">
        <v>97116075</v>
      </c>
      <c r="B8" t="s">
        <v>17</v>
      </c>
      <c r="C8" t="s">
        <v>11</v>
      </c>
      <c r="D8" s="2">
        <f>Summary!E8</f>
        <v>-149706041.80000001</v>
      </c>
      <c r="E8" t="s">
        <v>16</v>
      </c>
    </row>
    <row r="9" spans="1:5" x14ac:dyDescent="0.25">
      <c r="A9">
        <v>2113347193</v>
      </c>
      <c r="B9" t="s">
        <v>18</v>
      </c>
      <c r="C9" t="s">
        <v>11</v>
      </c>
      <c r="D9" s="2">
        <f>Summary!E9</f>
        <v>715482927.24000013</v>
      </c>
      <c r="E9" t="s">
        <v>7</v>
      </c>
    </row>
    <row r="10" spans="1:5" x14ac:dyDescent="0.25">
      <c r="A10">
        <v>1055292116</v>
      </c>
      <c r="B10" t="s">
        <v>19</v>
      </c>
      <c r="C10" t="s">
        <v>11</v>
      </c>
      <c r="D10" s="2">
        <f>Summary!E10</f>
        <v>295644199.61000001</v>
      </c>
      <c r="E10" t="s">
        <v>7</v>
      </c>
    </row>
    <row r="11" spans="1:5" x14ac:dyDescent="0.25">
      <c r="A11">
        <v>2117816200</v>
      </c>
      <c r="B11" t="s">
        <v>20</v>
      </c>
      <c r="C11" t="s">
        <v>11</v>
      </c>
      <c r="D11" s="2">
        <f>Summary!E11</f>
        <v>67348613.819999993</v>
      </c>
      <c r="E11" t="s">
        <v>7</v>
      </c>
    </row>
    <row r="12" spans="1:5" x14ac:dyDescent="0.25">
      <c r="A12">
        <v>2121165695</v>
      </c>
      <c r="B12" t="s">
        <v>21</v>
      </c>
      <c r="C12" t="s">
        <v>11</v>
      </c>
      <c r="D12" s="2">
        <f>Summary!E12</f>
        <v>323889931.22000003</v>
      </c>
      <c r="E12" t="s">
        <v>7</v>
      </c>
    </row>
    <row r="13" spans="1:5" x14ac:dyDescent="0.25">
      <c r="A13">
        <v>2114137610</v>
      </c>
      <c r="B13" t="s">
        <v>22</v>
      </c>
      <c r="C13" t="s">
        <v>11</v>
      </c>
      <c r="D13" s="2">
        <f>Summary!E13</f>
        <v>240648342.84</v>
      </c>
      <c r="E13" t="s">
        <v>7</v>
      </c>
    </row>
    <row r="14" spans="1:5" x14ac:dyDescent="0.25">
      <c r="A14">
        <v>93741008</v>
      </c>
      <c r="B14" t="s">
        <v>23</v>
      </c>
      <c r="C14" t="s">
        <v>11</v>
      </c>
      <c r="D14" s="2">
        <f>Summary!E14</f>
        <v>0</v>
      </c>
      <c r="E14" t="s">
        <v>14</v>
      </c>
    </row>
    <row r="15" spans="1:5" x14ac:dyDescent="0.25">
      <c r="A15">
        <v>2112559323</v>
      </c>
      <c r="B15" t="s">
        <v>24</v>
      </c>
      <c r="C15" t="s">
        <v>11</v>
      </c>
      <c r="D15" s="2">
        <f>Summary!E15</f>
        <v>238180725.99000001</v>
      </c>
      <c r="E15" t="s">
        <v>7</v>
      </c>
    </row>
    <row r="16" spans="1:5" x14ac:dyDescent="0.25">
      <c r="A16">
        <v>2120630134</v>
      </c>
      <c r="B16" t="s">
        <v>25</v>
      </c>
      <c r="C16" t="s">
        <v>11</v>
      </c>
      <c r="D16" s="2">
        <f>Summary!E16</f>
        <v>115263736.34</v>
      </c>
      <c r="E16" t="s">
        <v>7</v>
      </c>
    </row>
    <row r="17" spans="1:5" x14ac:dyDescent="0.25">
      <c r="A17">
        <v>2114252706</v>
      </c>
      <c r="B17" t="s">
        <v>26</v>
      </c>
      <c r="C17" t="s">
        <v>11</v>
      </c>
      <c r="D17" s="2">
        <f>Summary!E17</f>
        <v>121239860.52</v>
      </c>
      <c r="E17" t="s">
        <v>7</v>
      </c>
    </row>
    <row r="18" spans="1:5" x14ac:dyDescent="0.25">
      <c r="A18">
        <v>2121444628</v>
      </c>
      <c r="B18" t="s">
        <v>27</v>
      </c>
      <c r="C18" t="s">
        <v>11</v>
      </c>
      <c r="D18" s="2">
        <f>Summary!E18</f>
        <v>236318199.39999995</v>
      </c>
      <c r="E18" t="s">
        <v>7</v>
      </c>
    </row>
    <row r="19" spans="1:5" x14ac:dyDescent="0.25">
      <c r="A19">
        <v>1440237961</v>
      </c>
      <c r="B19" t="s">
        <v>28</v>
      </c>
      <c r="C19" t="s">
        <v>11</v>
      </c>
      <c r="D19" s="2">
        <f>Summary!E19</f>
        <v>512233946.87</v>
      </c>
      <c r="E19" t="s">
        <v>7</v>
      </c>
    </row>
    <row r="20" spans="1:5" x14ac:dyDescent="0.25">
      <c r="A20">
        <v>2120346029</v>
      </c>
      <c r="B20" t="s">
        <v>29</v>
      </c>
      <c r="C20" t="s">
        <v>11</v>
      </c>
      <c r="D20" s="2">
        <f>Summary!E20</f>
        <v>-4619409.9200000167</v>
      </c>
      <c r="E20" t="s">
        <v>16</v>
      </c>
    </row>
    <row r="21" spans="1:5" x14ac:dyDescent="0.25">
      <c r="A21">
        <v>2119819131</v>
      </c>
      <c r="B21" t="s">
        <v>30</v>
      </c>
      <c r="C21" t="s">
        <v>11</v>
      </c>
      <c r="D21" s="2">
        <f>Summary!E21</f>
        <v>140032918.38999999</v>
      </c>
      <c r="E21" t="s">
        <v>7</v>
      </c>
    </row>
    <row r="22" spans="1:5" x14ac:dyDescent="0.25">
      <c r="A22">
        <v>2116799756</v>
      </c>
      <c r="B22" t="s">
        <v>31</v>
      </c>
      <c r="C22" t="s">
        <v>11</v>
      </c>
      <c r="D22" s="2">
        <f>Summary!E22</f>
        <v>67016865.369999997</v>
      </c>
      <c r="E22" t="s">
        <v>7</v>
      </c>
    </row>
    <row r="23" spans="1:5" x14ac:dyDescent="0.25">
      <c r="A23">
        <v>2114092438</v>
      </c>
      <c r="B23" t="s">
        <v>32</v>
      </c>
      <c r="C23" t="s">
        <v>11</v>
      </c>
      <c r="D23" s="2">
        <f>Summary!E23</f>
        <v>-149706041.80000001</v>
      </c>
      <c r="E23" t="s">
        <v>16</v>
      </c>
    </row>
    <row r="24" spans="1:5" x14ac:dyDescent="0.25">
      <c r="A24">
        <v>2117025678</v>
      </c>
      <c r="B24" t="s">
        <v>33</v>
      </c>
      <c r="C24" t="s">
        <v>34</v>
      </c>
      <c r="D24" s="2">
        <f>Summary!E24</f>
        <v>95846409.310000002</v>
      </c>
      <c r="E24" t="s">
        <v>7</v>
      </c>
    </row>
    <row r="25" spans="1:5" x14ac:dyDescent="0.25">
      <c r="A25">
        <v>93179205</v>
      </c>
      <c r="B25" t="s">
        <v>35</v>
      </c>
      <c r="C25" t="s">
        <v>36</v>
      </c>
      <c r="D25" s="2">
        <f>Summary!E25</f>
        <v>0</v>
      </c>
      <c r="E25" t="s">
        <v>14</v>
      </c>
    </row>
    <row r="26" spans="1:5" x14ac:dyDescent="0.25">
      <c r="A26">
        <v>96300819</v>
      </c>
      <c r="B26" t="s">
        <v>37</v>
      </c>
      <c r="C26" t="s">
        <v>36</v>
      </c>
      <c r="D26" s="2">
        <f>Summary!E26</f>
        <v>0</v>
      </c>
      <c r="E26" t="s">
        <v>7</v>
      </c>
    </row>
    <row r="27" spans="1:5" x14ac:dyDescent="0.25">
      <c r="A27">
        <v>2115029714</v>
      </c>
      <c r="B27" t="s">
        <v>38</v>
      </c>
      <c r="C27" t="s">
        <v>36</v>
      </c>
      <c r="D27" s="2">
        <f>Summary!E27</f>
        <v>287217824.33999997</v>
      </c>
      <c r="E27" t="s">
        <v>7</v>
      </c>
    </row>
    <row r="28" spans="1:5" x14ac:dyDescent="0.25">
      <c r="A28">
        <v>2114505349</v>
      </c>
      <c r="B28" t="s">
        <v>39</v>
      </c>
      <c r="C28" t="s">
        <v>36</v>
      </c>
      <c r="D28" s="2">
        <f>Summary!E28</f>
        <v>0</v>
      </c>
      <c r="E28" t="s">
        <v>7</v>
      </c>
    </row>
    <row r="29" spans="1:5" x14ac:dyDescent="0.25">
      <c r="A29">
        <v>2118186543</v>
      </c>
      <c r="B29" t="s">
        <v>40</v>
      </c>
      <c r="C29" t="s">
        <v>36</v>
      </c>
      <c r="D29" s="2">
        <f>Summary!E29</f>
        <v>0</v>
      </c>
      <c r="E29" t="s">
        <v>7</v>
      </c>
    </row>
    <row r="30" spans="1:5" x14ac:dyDescent="0.25">
      <c r="A30">
        <v>2117812488</v>
      </c>
      <c r="B30" t="s">
        <v>41</v>
      </c>
      <c r="C30" t="s">
        <v>36</v>
      </c>
      <c r="D30" s="2">
        <f>Summary!E30</f>
        <v>0</v>
      </c>
      <c r="E30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topLeftCell="A79" workbookViewId="0">
      <selection activeCell="F7" sqref="F7"/>
    </sheetView>
  </sheetViews>
  <sheetFormatPr defaultRowHeight="15" x14ac:dyDescent="0.25"/>
  <cols>
    <col min="1" max="1" width="27.7109375" customWidth="1"/>
    <col min="2" max="2" width="32" customWidth="1"/>
    <col min="3" max="3" width="25.7109375" customWidth="1"/>
    <col min="4" max="4" width="40.5703125" customWidth="1"/>
    <col min="5" max="5" width="27.140625" customWidth="1"/>
  </cols>
  <sheetData>
    <row r="1" spans="1:6" x14ac:dyDescent="0.25">
      <c r="A1" s="1" t="s">
        <v>1</v>
      </c>
      <c r="B1" s="1" t="s">
        <v>2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5</v>
      </c>
      <c r="B2" t="s">
        <v>6</v>
      </c>
      <c r="C2" t="s">
        <v>46</v>
      </c>
      <c r="D2">
        <v>0</v>
      </c>
      <c r="E2" t="s">
        <v>47</v>
      </c>
      <c r="F2" s="4" t="s">
        <v>48</v>
      </c>
    </row>
    <row r="3" spans="1:6" x14ac:dyDescent="0.25">
      <c r="A3" t="s">
        <v>5</v>
      </c>
      <c r="B3" t="s">
        <v>6</v>
      </c>
      <c r="C3" t="s">
        <v>49</v>
      </c>
      <c r="D3">
        <v>0</v>
      </c>
      <c r="E3" t="s">
        <v>50</v>
      </c>
      <c r="F3" s="4" t="s">
        <v>51</v>
      </c>
    </row>
    <row r="4" spans="1:6" x14ac:dyDescent="0.25">
      <c r="A4" t="s">
        <v>5</v>
      </c>
      <c r="B4" t="s">
        <v>6</v>
      </c>
      <c r="C4" t="s">
        <v>49</v>
      </c>
      <c r="D4">
        <v>0</v>
      </c>
      <c r="E4" t="s">
        <v>52</v>
      </c>
      <c r="F4" s="4" t="s">
        <v>53</v>
      </c>
    </row>
    <row r="5" spans="1:6" x14ac:dyDescent="0.25">
      <c r="A5" t="s">
        <v>8</v>
      </c>
      <c r="B5" t="s">
        <v>9</v>
      </c>
      <c r="C5" t="s">
        <v>54</v>
      </c>
      <c r="D5">
        <v>363241892.99000001</v>
      </c>
      <c r="E5" t="s">
        <v>55</v>
      </c>
      <c r="F5" s="4" t="s">
        <v>56</v>
      </c>
    </row>
    <row r="6" spans="1:6" x14ac:dyDescent="0.25">
      <c r="A6" t="s">
        <v>8</v>
      </c>
      <c r="B6" t="s">
        <v>9</v>
      </c>
      <c r="C6" t="s">
        <v>54</v>
      </c>
      <c r="D6">
        <v>364162876.39999998</v>
      </c>
      <c r="E6" t="s">
        <v>57</v>
      </c>
      <c r="F6" s="4" t="s">
        <v>58</v>
      </c>
    </row>
    <row r="7" spans="1:6" x14ac:dyDescent="0.25">
      <c r="A7" t="s">
        <v>10</v>
      </c>
      <c r="B7" t="s">
        <v>11</v>
      </c>
      <c r="C7" t="s">
        <v>54</v>
      </c>
      <c r="D7">
        <v>505993368.33999997</v>
      </c>
      <c r="E7" t="s">
        <v>59</v>
      </c>
      <c r="F7" s="4" t="s">
        <v>60</v>
      </c>
    </row>
    <row r="8" spans="1:6" x14ac:dyDescent="0.25">
      <c r="A8" t="s">
        <v>12</v>
      </c>
      <c r="B8" t="s">
        <v>11</v>
      </c>
      <c r="C8" t="s">
        <v>54</v>
      </c>
      <c r="D8">
        <v>261725992.11000001</v>
      </c>
      <c r="E8" t="s">
        <v>61</v>
      </c>
      <c r="F8" s="4" t="s">
        <v>62</v>
      </c>
    </row>
    <row r="9" spans="1:6" x14ac:dyDescent="0.25">
      <c r="A9" t="s">
        <v>13</v>
      </c>
      <c r="B9" t="s">
        <v>11</v>
      </c>
      <c r="C9" t="s">
        <v>63</v>
      </c>
      <c r="D9">
        <v>0</v>
      </c>
      <c r="E9" t="s">
        <v>64</v>
      </c>
      <c r="F9" s="4" t="s">
        <v>65</v>
      </c>
    </row>
    <row r="10" spans="1:6" x14ac:dyDescent="0.25">
      <c r="A10" t="s">
        <v>15</v>
      </c>
      <c r="B10" t="s">
        <v>11</v>
      </c>
      <c r="C10" t="s">
        <v>63</v>
      </c>
      <c r="D10">
        <v>-149706041.80000001</v>
      </c>
      <c r="E10" t="s">
        <v>66</v>
      </c>
      <c r="F10" s="4" t="s">
        <v>67</v>
      </c>
    </row>
    <row r="11" spans="1:6" x14ac:dyDescent="0.25">
      <c r="A11" t="s">
        <v>17</v>
      </c>
      <c r="B11" t="s">
        <v>11</v>
      </c>
      <c r="C11" t="s">
        <v>63</v>
      </c>
      <c r="D11">
        <v>-149706041.80000001</v>
      </c>
      <c r="E11" t="s">
        <v>68</v>
      </c>
      <c r="F11" s="4" t="s">
        <v>69</v>
      </c>
    </row>
    <row r="12" spans="1:6" x14ac:dyDescent="0.25">
      <c r="A12" t="s">
        <v>18</v>
      </c>
      <c r="B12" t="s">
        <v>11</v>
      </c>
      <c r="C12" t="s">
        <v>54</v>
      </c>
      <c r="D12">
        <v>72872769.709999993</v>
      </c>
      <c r="E12" t="s">
        <v>70</v>
      </c>
      <c r="F12" s="4" t="s">
        <v>71</v>
      </c>
    </row>
    <row r="13" spans="1:6" x14ac:dyDescent="0.25">
      <c r="A13" t="s">
        <v>18</v>
      </c>
      <c r="B13" t="s">
        <v>11</v>
      </c>
      <c r="C13" t="s">
        <v>54</v>
      </c>
      <c r="D13">
        <v>61264647.289999999</v>
      </c>
      <c r="E13" t="s">
        <v>72</v>
      </c>
      <c r="F13" s="4" t="s">
        <v>73</v>
      </c>
    </row>
    <row r="14" spans="1:6" x14ac:dyDescent="0.25">
      <c r="A14" t="s">
        <v>18</v>
      </c>
      <c r="B14" t="s">
        <v>11</v>
      </c>
      <c r="C14" t="s">
        <v>54</v>
      </c>
      <c r="D14">
        <v>61640944.999999993</v>
      </c>
      <c r="E14" t="s">
        <v>74</v>
      </c>
      <c r="F14" s="4" t="s">
        <v>75</v>
      </c>
    </row>
    <row r="15" spans="1:6" x14ac:dyDescent="0.25">
      <c r="A15" t="s">
        <v>18</v>
      </c>
      <c r="B15" t="s">
        <v>11</v>
      </c>
      <c r="C15" t="s">
        <v>54</v>
      </c>
      <c r="D15">
        <v>61747344.200000003</v>
      </c>
      <c r="E15" t="s">
        <v>76</v>
      </c>
      <c r="F15" s="4" t="s">
        <v>77</v>
      </c>
    </row>
    <row r="16" spans="1:6" x14ac:dyDescent="0.25">
      <c r="A16" t="s">
        <v>18</v>
      </c>
      <c r="B16" t="s">
        <v>11</v>
      </c>
      <c r="C16" t="s">
        <v>54</v>
      </c>
      <c r="D16">
        <v>61753759.880000003</v>
      </c>
      <c r="E16" t="s">
        <v>78</v>
      </c>
      <c r="F16" s="4" t="s">
        <v>79</v>
      </c>
    </row>
    <row r="17" spans="1:6" x14ac:dyDescent="0.25">
      <c r="A17" t="s">
        <v>18</v>
      </c>
      <c r="B17" t="s">
        <v>11</v>
      </c>
      <c r="C17" t="s">
        <v>54</v>
      </c>
      <c r="D17">
        <v>61744136.359999992</v>
      </c>
      <c r="E17" t="s">
        <v>80</v>
      </c>
      <c r="F17" s="4" t="s">
        <v>81</v>
      </c>
    </row>
    <row r="18" spans="1:6" x14ac:dyDescent="0.25">
      <c r="A18" t="s">
        <v>18</v>
      </c>
      <c r="B18" t="s">
        <v>11</v>
      </c>
      <c r="C18" t="s">
        <v>54</v>
      </c>
      <c r="D18">
        <v>61868285.350000001</v>
      </c>
      <c r="E18" t="s">
        <v>82</v>
      </c>
      <c r="F18" s="4" t="s">
        <v>83</v>
      </c>
    </row>
    <row r="19" spans="1:6" x14ac:dyDescent="0.25">
      <c r="A19" t="s">
        <v>18</v>
      </c>
      <c r="B19" t="s">
        <v>11</v>
      </c>
      <c r="C19" t="s">
        <v>54</v>
      </c>
      <c r="D19">
        <v>70261089.909999996</v>
      </c>
      <c r="E19" t="s">
        <v>84</v>
      </c>
      <c r="F19" s="4" t="s">
        <v>85</v>
      </c>
    </row>
    <row r="20" spans="1:6" x14ac:dyDescent="0.25">
      <c r="A20" t="s">
        <v>18</v>
      </c>
      <c r="B20" t="s">
        <v>11</v>
      </c>
      <c r="C20" t="s">
        <v>54</v>
      </c>
      <c r="D20">
        <v>70323926.439999998</v>
      </c>
      <c r="E20" t="s">
        <v>86</v>
      </c>
      <c r="F20" s="4" t="s">
        <v>87</v>
      </c>
    </row>
    <row r="21" spans="1:6" x14ac:dyDescent="0.25">
      <c r="A21" t="s">
        <v>18</v>
      </c>
      <c r="B21" t="s">
        <v>11</v>
      </c>
      <c r="C21" t="s">
        <v>54</v>
      </c>
      <c r="D21">
        <v>70295633</v>
      </c>
      <c r="E21" t="s">
        <v>88</v>
      </c>
      <c r="F21" s="4" t="s">
        <v>89</v>
      </c>
    </row>
    <row r="22" spans="1:6" x14ac:dyDescent="0.25">
      <c r="A22" t="s">
        <v>18</v>
      </c>
      <c r="B22" t="s">
        <v>11</v>
      </c>
      <c r="C22" t="s">
        <v>54</v>
      </c>
      <c r="D22">
        <v>61710390.100000001</v>
      </c>
      <c r="E22" t="s">
        <v>90</v>
      </c>
      <c r="F22" s="4" t="s">
        <v>91</v>
      </c>
    </row>
    <row r="23" spans="1:6" x14ac:dyDescent="0.25">
      <c r="A23" t="s">
        <v>19</v>
      </c>
      <c r="B23" t="s">
        <v>11</v>
      </c>
      <c r="C23" t="s">
        <v>54</v>
      </c>
      <c r="D23">
        <v>295644199.61000001</v>
      </c>
      <c r="E23" t="s">
        <v>92</v>
      </c>
      <c r="F23" s="4" t="s">
        <v>93</v>
      </c>
    </row>
    <row r="24" spans="1:6" x14ac:dyDescent="0.25">
      <c r="A24" t="s">
        <v>20</v>
      </c>
      <c r="B24" t="s">
        <v>11</v>
      </c>
      <c r="C24" t="s">
        <v>54</v>
      </c>
      <c r="D24">
        <v>67348613.819999993</v>
      </c>
      <c r="E24" t="s">
        <v>94</v>
      </c>
      <c r="F24" s="4" t="s">
        <v>95</v>
      </c>
    </row>
    <row r="25" spans="1:6" x14ac:dyDescent="0.25">
      <c r="A25" t="s">
        <v>21</v>
      </c>
      <c r="B25" t="s">
        <v>11</v>
      </c>
      <c r="C25" t="s">
        <v>54</v>
      </c>
      <c r="D25">
        <v>320760769.31</v>
      </c>
      <c r="E25" t="s">
        <v>96</v>
      </c>
      <c r="F25" s="4" t="s">
        <v>97</v>
      </c>
    </row>
    <row r="26" spans="1:6" x14ac:dyDescent="0.25">
      <c r="A26" t="s">
        <v>21</v>
      </c>
      <c r="B26" t="s">
        <v>11</v>
      </c>
      <c r="C26" t="s">
        <v>49</v>
      </c>
      <c r="D26">
        <v>1681199.79</v>
      </c>
      <c r="E26" t="s">
        <v>98</v>
      </c>
      <c r="F26" s="4" t="s">
        <v>99</v>
      </c>
    </row>
    <row r="27" spans="1:6" x14ac:dyDescent="0.25">
      <c r="A27" t="s">
        <v>21</v>
      </c>
      <c r="B27" t="s">
        <v>11</v>
      </c>
      <c r="C27" t="s">
        <v>49</v>
      </c>
      <c r="D27">
        <v>1447962.12</v>
      </c>
      <c r="E27" t="s">
        <v>100</v>
      </c>
      <c r="F27" s="4" t="s">
        <v>101</v>
      </c>
    </row>
    <row r="28" spans="1:6" x14ac:dyDescent="0.25">
      <c r="A28" t="s">
        <v>22</v>
      </c>
      <c r="B28" t="s">
        <v>11</v>
      </c>
      <c r="C28" t="s">
        <v>54</v>
      </c>
      <c r="D28">
        <v>240648342.84</v>
      </c>
      <c r="E28" t="s">
        <v>102</v>
      </c>
      <c r="F28" s="4" t="s">
        <v>103</v>
      </c>
    </row>
    <row r="29" spans="1:6" x14ac:dyDescent="0.25">
      <c r="A29" t="s">
        <v>23</v>
      </c>
      <c r="B29" t="s">
        <v>11</v>
      </c>
      <c r="C29" t="s">
        <v>63</v>
      </c>
      <c r="D29">
        <v>0</v>
      </c>
      <c r="E29" t="s">
        <v>104</v>
      </c>
      <c r="F29" s="4" t="s">
        <v>105</v>
      </c>
    </row>
    <row r="30" spans="1:6" x14ac:dyDescent="0.25">
      <c r="A30" t="s">
        <v>24</v>
      </c>
      <c r="B30" t="s">
        <v>11</v>
      </c>
      <c r="C30" t="s">
        <v>106</v>
      </c>
      <c r="D30">
        <v>117002741.66</v>
      </c>
      <c r="E30" t="s">
        <v>107</v>
      </c>
      <c r="F30" s="4" t="s">
        <v>108</v>
      </c>
    </row>
    <row r="31" spans="1:6" x14ac:dyDescent="0.25">
      <c r="A31" t="s">
        <v>24</v>
      </c>
      <c r="B31" t="s">
        <v>11</v>
      </c>
      <c r="C31" t="s">
        <v>106</v>
      </c>
      <c r="D31">
        <v>121177984.33</v>
      </c>
      <c r="E31" t="s">
        <v>109</v>
      </c>
      <c r="F31" s="4" t="s">
        <v>110</v>
      </c>
    </row>
    <row r="32" spans="1:6" x14ac:dyDescent="0.25">
      <c r="A32" t="s">
        <v>25</v>
      </c>
      <c r="B32" t="s">
        <v>11</v>
      </c>
      <c r="C32" t="s">
        <v>106</v>
      </c>
      <c r="D32">
        <v>115263736.34</v>
      </c>
      <c r="E32" t="s">
        <v>111</v>
      </c>
      <c r="F32" s="4" t="s">
        <v>112</v>
      </c>
    </row>
    <row r="33" spans="1:6" x14ac:dyDescent="0.25">
      <c r="A33" t="s">
        <v>26</v>
      </c>
      <c r="B33" t="s">
        <v>11</v>
      </c>
      <c r="C33" t="s">
        <v>106</v>
      </c>
      <c r="D33">
        <v>121239860.52</v>
      </c>
      <c r="E33" t="s">
        <v>113</v>
      </c>
      <c r="F33" s="4" t="s">
        <v>114</v>
      </c>
    </row>
    <row r="34" spans="1:6" x14ac:dyDescent="0.25">
      <c r="A34" t="s">
        <v>27</v>
      </c>
      <c r="B34" t="s">
        <v>11</v>
      </c>
      <c r="C34" t="s">
        <v>54</v>
      </c>
      <c r="D34">
        <v>14831110.560000001</v>
      </c>
      <c r="E34" t="s">
        <v>115</v>
      </c>
      <c r="F34" s="4" t="s">
        <v>116</v>
      </c>
    </row>
    <row r="35" spans="1:6" x14ac:dyDescent="0.25">
      <c r="A35" t="s">
        <v>27</v>
      </c>
      <c r="B35" t="s">
        <v>11</v>
      </c>
      <c r="C35" t="s">
        <v>54</v>
      </c>
      <c r="D35">
        <v>14655309.039999999</v>
      </c>
      <c r="E35" t="s">
        <v>117</v>
      </c>
      <c r="F35" s="4" t="s">
        <v>118</v>
      </c>
    </row>
    <row r="36" spans="1:6" x14ac:dyDescent="0.25">
      <c r="A36" t="s">
        <v>27</v>
      </c>
      <c r="B36" t="s">
        <v>11</v>
      </c>
      <c r="C36" t="s">
        <v>49</v>
      </c>
      <c r="D36">
        <v>3664613.16</v>
      </c>
      <c r="E36" t="s">
        <v>119</v>
      </c>
      <c r="F36" s="4" t="s">
        <v>120</v>
      </c>
    </row>
    <row r="37" spans="1:6" x14ac:dyDescent="0.25">
      <c r="A37" t="s">
        <v>27</v>
      </c>
      <c r="B37" t="s">
        <v>11</v>
      </c>
      <c r="C37" t="s">
        <v>49</v>
      </c>
      <c r="D37">
        <v>2100144.46</v>
      </c>
      <c r="E37" t="s">
        <v>121</v>
      </c>
      <c r="F37" s="4" t="s">
        <v>122</v>
      </c>
    </row>
    <row r="38" spans="1:6" x14ac:dyDescent="0.25">
      <c r="A38" t="s">
        <v>27</v>
      </c>
      <c r="B38" t="s">
        <v>11</v>
      </c>
      <c r="C38" t="s">
        <v>49</v>
      </c>
      <c r="D38">
        <v>3664613.16</v>
      </c>
      <c r="E38" t="s">
        <v>123</v>
      </c>
      <c r="F38" s="4" t="s">
        <v>124</v>
      </c>
    </row>
    <row r="39" spans="1:6" x14ac:dyDescent="0.25">
      <c r="A39" t="s">
        <v>27</v>
      </c>
      <c r="B39" t="s">
        <v>11</v>
      </c>
      <c r="C39" t="s">
        <v>49</v>
      </c>
      <c r="D39">
        <v>3664613.16</v>
      </c>
      <c r="E39" t="s">
        <v>125</v>
      </c>
      <c r="F39" s="4" t="s">
        <v>126</v>
      </c>
    </row>
    <row r="40" spans="1:6" x14ac:dyDescent="0.25">
      <c r="A40" t="s">
        <v>27</v>
      </c>
      <c r="B40" t="s">
        <v>11</v>
      </c>
      <c r="C40" t="s">
        <v>49</v>
      </c>
      <c r="D40">
        <v>2110260.21</v>
      </c>
      <c r="E40" t="s">
        <v>127</v>
      </c>
      <c r="F40" s="4" t="s">
        <v>128</v>
      </c>
    </row>
    <row r="41" spans="1:6" x14ac:dyDescent="0.25">
      <c r="A41" t="s">
        <v>27</v>
      </c>
      <c r="B41" t="s">
        <v>11</v>
      </c>
      <c r="C41" t="s">
        <v>49</v>
      </c>
      <c r="D41">
        <v>3659843.17</v>
      </c>
      <c r="E41" t="s">
        <v>129</v>
      </c>
      <c r="F41" s="4" t="s">
        <v>130</v>
      </c>
    </row>
    <row r="42" spans="1:6" x14ac:dyDescent="0.25">
      <c r="A42" t="s">
        <v>27</v>
      </c>
      <c r="B42" t="s">
        <v>11</v>
      </c>
      <c r="C42" t="s">
        <v>49</v>
      </c>
      <c r="D42">
        <v>3659843.17</v>
      </c>
      <c r="E42" t="s">
        <v>131</v>
      </c>
      <c r="F42" s="4" t="s">
        <v>132</v>
      </c>
    </row>
    <row r="43" spans="1:6" x14ac:dyDescent="0.25">
      <c r="A43" t="s">
        <v>27</v>
      </c>
      <c r="B43" t="s">
        <v>11</v>
      </c>
      <c r="C43" t="s">
        <v>49</v>
      </c>
      <c r="D43">
        <v>3188389.83</v>
      </c>
      <c r="E43" t="s">
        <v>133</v>
      </c>
      <c r="F43" s="4" t="s">
        <v>134</v>
      </c>
    </row>
    <row r="44" spans="1:6" x14ac:dyDescent="0.25">
      <c r="A44" t="s">
        <v>27</v>
      </c>
      <c r="B44" t="s">
        <v>11</v>
      </c>
      <c r="C44" t="s">
        <v>49</v>
      </c>
      <c r="D44">
        <v>3664170.33</v>
      </c>
      <c r="E44" t="s">
        <v>135</v>
      </c>
      <c r="F44" s="4" t="s">
        <v>136</v>
      </c>
    </row>
    <row r="45" spans="1:6" x14ac:dyDescent="0.25">
      <c r="A45" t="s">
        <v>27</v>
      </c>
      <c r="B45" t="s">
        <v>11</v>
      </c>
      <c r="C45" t="s">
        <v>49</v>
      </c>
      <c r="D45">
        <v>3664170.33</v>
      </c>
      <c r="E45" t="s">
        <v>137</v>
      </c>
      <c r="F45" s="4" t="s">
        <v>138</v>
      </c>
    </row>
    <row r="46" spans="1:6" x14ac:dyDescent="0.25">
      <c r="A46" t="s">
        <v>27</v>
      </c>
      <c r="B46" t="s">
        <v>11</v>
      </c>
      <c r="C46" t="s">
        <v>49</v>
      </c>
      <c r="D46">
        <v>3664170.33</v>
      </c>
      <c r="E46" t="s">
        <v>139</v>
      </c>
      <c r="F46" s="4" t="s">
        <v>140</v>
      </c>
    </row>
    <row r="47" spans="1:6" x14ac:dyDescent="0.25">
      <c r="A47" t="s">
        <v>27</v>
      </c>
      <c r="B47" t="s">
        <v>11</v>
      </c>
      <c r="C47" t="s">
        <v>49</v>
      </c>
      <c r="D47">
        <v>3667793.18</v>
      </c>
      <c r="E47" t="s">
        <v>141</v>
      </c>
      <c r="F47" s="4" t="s">
        <v>142</v>
      </c>
    </row>
    <row r="48" spans="1:6" x14ac:dyDescent="0.25">
      <c r="A48" t="s">
        <v>27</v>
      </c>
      <c r="B48" t="s">
        <v>11</v>
      </c>
      <c r="C48" t="s">
        <v>49</v>
      </c>
      <c r="D48">
        <v>3667793.18</v>
      </c>
      <c r="E48" t="s">
        <v>143</v>
      </c>
      <c r="F48" s="4" t="s">
        <v>144</v>
      </c>
    </row>
    <row r="49" spans="1:6" x14ac:dyDescent="0.25">
      <c r="A49" t="s">
        <v>27</v>
      </c>
      <c r="B49" t="s">
        <v>11</v>
      </c>
      <c r="C49" t="s">
        <v>49</v>
      </c>
      <c r="D49">
        <v>1449148.29</v>
      </c>
      <c r="E49" t="s">
        <v>145</v>
      </c>
      <c r="F49" s="4" t="s">
        <v>146</v>
      </c>
    </row>
    <row r="50" spans="1:6" x14ac:dyDescent="0.25">
      <c r="A50" t="s">
        <v>27</v>
      </c>
      <c r="B50" t="s">
        <v>11</v>
      </c>
      <c r="C50" t="s">
        <v>49</v>
      </c>
      <c r="D50">
        <v>3136306.52</v>
      </c>
      <c r="E50" t="s">
        <v>147</v>
      </c>
      <c r="F50" s="4" t="s">
        <v>148</v>
      </c>
    </row>
    <row r="51" spans="1:6" x14ac:dyDescent="0.25">
      <c r="A51" t="s">
        <v>27</v>
      </c>
      <c r="B51" t="s">
        <v>11</v>
      </c>
      <c r="C51" t="s">
        <v>49</v>
      </c>
      <c r="D51">
        <v>3136306.52</v>
      </c>
      <c r="E51" t="s">
        <v>149</v>
      </c>
      <c r="F51" s="4" t="s">
        <v>150</v>
      </c>
    </row>
    <row r="52" spans="1:6" x14ac:dyDescent="0.25">
      <c r="A52" t="s">
        <v>27</v>
      </c>
      <c r="B52" t="s">
        <v>11</v>
      </c>
      <c r="C52" t="s">
        <v>49</v>
      </c>
      <c r="D52">
        <v>3136306.52</v>
      </c>
      <c r="E52" t="s">
        <v>151</v>
      </c>
      <c r="F52" s="4" t="s">
        <v>152</v>
      </c>
    </row>
    <row r="53" spans="1:6" x14ac:dyDescent="0.25">
      <c r="A53" t="s">
        <v>27</v>
      </c>
      <c r="B53" t="s">
        <v>11</v>
      </c>
      <c r="C53" t="s">
        <v>49</v>
      </c>
      <c r="D53">
        <v>3136306.52</v>
      </c>
      <c r="E53" t="s">
        <v>153</v>
      </c>
      <c r="F53" s="4" t="s">
        <v>154</v>
      </c>
    </row>
    <row r="54" spans="1:6" x14ac:dyDescent="0.25">
      <c r="A54" t="s">
        <v>27</v>
      </c>
      <c r="B54" t="s">
        <v>11</v>
      </c>
      <c r="C54" t="s">
        <v>49</v>
      </c>
      <c r="D54">
        <v>3136306.52</v>
      </c>
      <c r="E54" t="s">
        <v>155</v>
      </c>
      <c r="F54" s="4" t="s">
        <v>156</v>
      </c>
    </row>
    <row r="55" spans="1:6" x14ac:dyDescent="0.25">
      <c r="A55" t="s">
        <v>27</v>
      </c>
      <c r="B55" t="s">
        <v>11</v>
      </c>
      <c r="C55" t="s">
        <v>49</v>
      </c>
      <c r="D55">
        <v>3136306.52</v>
      </c>
      <c r="E55" t="s">
        <v>157</v>
      </c>
      <c r="F55" s="4" t="s">
        <v>158</v>
      </c>
    </row>
    <row r="56" spans="1:6" x14ac:dyDescent="0.25">
      <c r="A56" t="s">
        <v>27</v>
      </c>
      <c r="B56" t="s">
        <v>11</v>
      </c>
      <c r="C56" t="s">
        <v>49</v>
      </c>
      <c r="D56">
        <v>3136306.52</v>
      </c>
      <c r="E56" t="s">
        <v>159</v>
      </c>
      <c r="F56" s="4" t="s">
        <v>160</v>
      </c>
    </row>
    <row r="57" spans="1:6" x14ac:dyDescent="0.25">
      <c r="A57" t="s">
        <v>27</v>
      </c>
      <c r="B57" t="s">
        <v>11</v>
      </c>
      <c r="C57" t="s">
        <v>49</v>
      </c>
      <c r="D57">
        <v>3136306.52</v>
      </c>
      <c r="E57" t="s">
        <v>161</v>
      </c>
      <c r="F57" s="4" t="s">
        <v>162</v>
      </c>
    </row>
    <row r="58" spans="1:6" x14ac:dyDescent="0.25">
      <c r="A58" t="s">
        <v>27</v>
      </c>
      <c r="B58" t="s">
        <v>11</v>
      </c>
      <c r="C58" t="s">
        <v>49</v>
      </c>
      <c r="D58">
        <v>3128860.71</v>
      </c>
      <c r="E58" t="s">
        <v>163</v>
      </c>
      <c r="F58" s="4" t="s">
        <v>164</v>
      </c>
    </row>
    <row r="59" spans="1:6" x14ac:dyDescent="0.25">
      <c r="A59" t="s">
        <v>27</v>
      </c>
      <c r="B59" t="s">
        <v>11</v>
      </c>
      <c r="C59" t="s">
        <v>49</v>
      </c>
      <c r="D59">
        <v>2960162.75</v>
      </c>
      <c r="E59" t="s">
        <v>165</v>
      </c>
      <c r="F59" s="4" t="s">
        <v>166</v>
      </c>
    </row>
    <row r="60" spans="1:6" x14ac:dyDescent="0.25">
      <c r="A60" t="s">
        <v>27</v>
      </c>
      <c r="B60" t="s">
        <v>11</v>
      </c>
      <c r="C60" t="s">
        <v>49</v>
      </c>
      <c r="D60">
        <v>3128860.71</v>
      </c>
      <c r="E60" t="s">
        <v>167</v>
      </c>
      <c r="F60" s="4" t="s">
        <v>168</v>
      </c>
    </row>
    <row r="61" spans="1:6" x14ac:dyDescent="0.25">
      <c r="A61" t="s">
        <v>27</v>
      </c>
      <c r="B61" t="s">
        <v>11</v>
      </c>
      <c r="C61" t="s">
        <v>49</v>
      </c>
      <c r="D61">
        <v>3128860.71</v>
      </c>
      <c r="E61" t="s">
        <v>169</v>
      </c>
      <c r="F61" s="4" t="s">
        <v>170</v>
      </c>
    </row>
    <row r="62" spans="1:6" x14ac:dyDescent="0.25">
      <c r="A62" t="s">
        <v>27</v>
      </c>
      <c r="B62" t="s">
        <v>11</v>
      </c>
      <c r="C62" t="s">
        <v>49</v>
      </c>
      <c r="D62">
        <v>2960162.75</v>
      </c>
      <c r="E62" t="s">
        <v>171</v>
      </c>
      <c r="F62" s="4" t="s">
        <v>172</v>
      </c>
    </row>
    <row r="63" spans="1:6" x14ac:dyDescent="0.25">
      <c r="A63" t="s">
        <v>27</v>
      </c>
      <c r="B63" t="s">
        <v>11</v>
      </c>
      <c r="C63" t="s">
        <v>49</v>
      </c>
      <c r="D63">
        <v>3128860.71</v>
      </c>
      <c r="E63" t="s">
        <v>173</v>
      </c>
      <c r="F63" s="4" t="s">
        <v>174</v>
      </c>
    </row>
    <row r="64" spans="1:6" x14ac:dyDescent="0.25">
      <c r="A64" t="s">
        <v>27</v>
      </c>
      <c r="B64" t="s">
        <v>11</v>
      </c>
      <c r="C64" t="s">
        <v>49</v>
      </c>
      <c r="D64">
        <v>2960162.75</v>
      </c>
      <c r="E64" t="s">
        <v>175</v>
      </c>
      <c r="F64" s="4" t="s">
        <v>176</v>
      </c>
    </row>
    <row r="65" spans="1:6" x14ac:dyDescent="0.25">
      <c r="A65" t="s">
        <v>27</v>
      </c>
      <c r="B65" t="s">
        <v>11</v>
      </c>
      <c r="C65" t="s">
        <v>49</v>
      </c>
      <c r="D65">
        <v>2960162.75</v>
      </c>
      <c r="E65" t="s">
        <v>177</v>
      </c>
      <c r="F65" s="4" t="s">
        <v>178</v>
      </c>
    </row>
    <row r="66" spans="1:6" x14ac:dyDescent="0.25">
      <c r="A66" t="s">
        <v>27</v>
      </c>
      <c r="B66" t="s">
        <v>11</v>
      </c>
      <c r="C66" t="s">
        <v>49</v>
      </c>
      <c r="D66">
        <v>2960162.75</v>
      </c>
      <c r="E66" t="s">
        <v>179</v>
      </c>
      <c r="F66" s="4" t="s">
        <v>180</v>
      </c>
    </row>
    <row r="67" spans="1:6" x14ac:dyDescent="0.25">
      <c r="A67" t="s">
        <v>27</v>
      </c>
      <c r="B67" t="s">
        <v>11</v>
      </c>
      <c r="C67" t="s">
        <v>49</v>
      </c>
      <c r="D67">
        <v>11051984.68</v>
      </c>
      <c r="E67" t="s">
        <v>181</v>
      </c>
      <c r="F67" s="4" t="s">
        <v>182</v>
      </c>
    </row>
    <row r="68" spans="1:6" x14ac:dyDescent="0.25">
      <c r="A68" t="s">
        <v>27</v>
      </c>
      <c r="B68" t="s">
        <v>11</v>
      </c>
      <c r="C68" t="s">
        <v>49</v>
      </c>
      <c r="D68">
        <v>11048659.539999999</v>
      </c>
      <c r="E68" t="s">
        <v>183</v>
      </c>
      <c r="F68" s="4" t="s">
        <v>184</v>
      </c>
    </row>
    <row r="69" spans="1:6" x14ac:dyDescent="0.25">
      <c r="A69" t="s">
        <v>27</v>
      </c>
      <c r="B69" t="s">
        <v>11</v>
      </c>
      <c r="C69" t="s">
        <v>49</v>
      </c>
      <c r="D69">
        <v>2960162.75</v>
      </c>
      <c r="E69" t="s">
        <v>185</v>
      </c>
      <c r="F69" s="4" t="s">
        <v>186</v>
      </c>
    </row>
    <row r="70" spans="1:6" x14ac:dyDescent="0.25">
      <c r="A70" t="s">
        <v>27</v>
      </c>
      <c r="B70" t="s">
        <v>11</v>
      </c>
      <c r="C70" t="s">
        <v>49</v>
      </c>
      <c r="D70">
        <v>2960162.75</v>
      </c>
      <c r="E70" t="s">
        <v>187</v>
      </c>
      <c r="F70" s="4" t="s">
        <v>188</v>
      </c>
    </row>
    <row r="71" spans="1:6" x14ac:dyDescent="0.25">
      <c r="A71" t="s">
        <v>27</v>
      </c>
      <c r="B71" t="s">
        <v>11</v>
      </c>
      <c r="C71" t="s">
        <v>49</v>
      </c>
      <c r="D71">
        <v>2960162.75</v>
      </c>
      <c r="E71" t="s">
        <v>189</v>
      </c>
      <c r="F71" s="4" t="s">
        <v>190</v>
      </c>
    </row>
    <row r="72" spans="1:6" x14ac:dyDescent="0.25">
      <c r="A72" t="s">
        <v>27</v>
      </c>
      <c r="B72" t="s">
        <v>11</v>
      </c>
      <c r="C72" t="s">
        <v>49</v>
      </c>
      <c r="D72">
        <v>2961761.71</v>
      </c>
      <c r="E72" t="s">
        <v>191</v>
      </c>
      <c r="F72" s="4" t="s">
        <v>192</v>
      </c>
    </row>
    <row r="73" spans="1:6" x14ac:dyDescent="0.25">
      <c r="A73" t="s">
        <v>27</v>
      </c>
      <c r="B73" t="s">
        <v>11</v>
      </c>
      <c r="C73" t="s">
        <v>49</v>
      </c>
      <c r="D73">
        <v>2961761.71</v>
      </c>
      <c r="E73" t="s">
        <v>193</v>
      </c>
      <c r="F73" s="4" t="s">
        <v>194</v>
      </c>
    </row>
    <row r="74" spans="1:6" x14ac:dyDescent="0.25">
      <c r="A74" t="s">
        <v>27</v>
      </c>
      <c r="B74" t="s">
        <v>11</v>
      </c>
      <c r="C74" t="s">
        <v>49</v>
      </c>
      <c r="D74">
        <v>2961761.71</v>
      </c>
      <c r="E74" t="s">
        <v>195</v>
      </c>
      <c r="F74" s="4" t="s">
        <v>196</v>
      </c>
    </row>
    <row r="75" spans="1:6" x14ac:dyDescent="0.25">
      <c r="A75" t="s">
        <v>27</v>
      </c>
      <c r="B75" t="s">
        <v>11</v>
      </c>
      <c r="C75" t="s">
        <v>49</v>
      </c>
      <c r="D75">
        <v>2961761.71</v>
      </c>
      <c r="E75" t="s">
        <v>197</v>
      </c>
      <c r="F75" s="4" t="s">
        <v>198</v>
      </c>
    </row>
    <row r="76" spans="1:6" x14ac:dyDescent="0.25">
      <c r="A76" t="s">
        <v>27</v>
      </c>
      <c r="B76" t="s">
        <v>11</v>
      </c>
      <c r="C76" t="s">
        <v>49</v>
      </c>
      <c r="D76">
        <v>11005546.630000001</v>
      </c>
      <c r="E76" t="s">
        <v>199</v>
      </c>
      <c r="F76" s="4" t="s">
        <v>200</v>
      </c>
    </row>
    <row r="77" spans="1:6" x14ac:dyDescent="0.25">
      <c r="A77" t="s">
        <v>27</v>
      </c>
      <c r="B77" t="s">
        <v>11</v>
      </c>
      <c r="C77" t="s">
        <v>49</v>
      </c>
      <c r="D77">
        <v>11020510.630000001</v>
      </c>
      <c r="E77" t="s">
        <v>201</v>
      </c>
      <c r="F77" s="4" t="s">
        <v>202</v>
      </c>
    </row>
    <row r="78" spans="1:6" x14ac:dyDescent="0.25">
      <c r="A78" t="s">
        <v>27</v>
      </c>
      <c r="B78" t="s">
        <v>11</v>
      </c>
      <c r="C78" t="s">
        <v>49</v>
      </c>
      <c r="D78">
        <v>11022058.630000001</v>
      </c>
      <c r="E78" t="s">
        <v>203</v>
      </c>
      <c r="F78" s="4" t="s">
        <v>204</v>
      </c>
    </row>
    <row r="79" spans="1:6" x14ac:dyDescent="0.25">
      <c r="A79" t="s">
        <v>27</v>
      </c>
      <c r="B79" t="s">
        <v>11</v>
      </c>
      <c r="C79" t="s">
        <v>49</v>
      </c>
      <c r="D79">
        <v>11018446.630000001</v>
      </c>
      <c r="E79" t="s">
        <v>205</v>
      </c>
      <c r="F79" s="4" t="s">
        <v>206</v>
      </c>
    </row>
    <row r="80" spans="1:6" x14ac:dyDescent="0.25">
      <c r="A80" t="s">
        <v>27</v>
      </c>
      <c r="B80" t="s">
        <v>11</v>
      </c>
      <c r="C80" t="s">
        <v>49</v>
      </c>
      <c r="D80">
        <v>11019478.630000001</v>
      </c>
      <c r="E80" t="s">
        <v>207</v>
      </c>
      <c r="F80" s="4" t="s">
        <v>208</v>
      </c>
    </row>
    <row r="81" spans="1:6" x14ac:dyDescent="0.25">
      <c r="A81" t="s">
        <v>27</v>
      </c>
      <c r="B81" t="s">
        <v>11</v>
      </c>
      <c r="C81" t="s">
        <v>49</v>
      </c>
      <c r="D81">
        <v>11021284.630000001</v>
      </c>
      <c r="E81" t="s">
        <v>209</v>
      </c>
      <c r="F81" s="4" t="s">
        <v>210</v>
      </c>
    </row>
    <row r="82" spans="1:6" x14ac:dyDescent="0.25">
      <c r="A82" t="s">
        <v>28</v>
      </c>
      <c r="B82" t="s">
        <v>11</v>
      </c>
      <c r="C82" t="s">
        <v>106</v>
      </c>
      <c r="D82">
        <v>106759228.73</v>
      </c>
      <c r="E82" t="s">
        <v>211</v>
      </c>
      <c r="F82" s="4" t="s">
        <v>212</v>
      </c>
    </row>
    <row r="83" spans="1:6" x14ac:dyDescent="0.25">
      <c r="A83" t="s">
        <v>28</v>
      </c>
      <c r="B83" t="s">
        <v>11</v>
      </c>
      <c r="C83" t="s">
        <v>54</v>
      </c>
      <c r="D83">
        <v>71140019.579999998</v>
      </c>
      <c r="E83" t="s">
        <v>213</v>
      </c>
      <c r="F83" s="4" t="s">
        <v>214</v>
      </c>
    </row>
    <row r="84" spans="1:6" x14ac:dyDescent="0.25">
      <c r="A84" t="s">
        <v>28</v>
      </c>
      <c r="B84" t="s">
        <v>11</v>
      </c>
      <c r="C84" t="s">
        <v>49</v>
      </c>
      <c r="D84">
        <v>11825034.67</v>
      </c>
      <c r="E84" t="s">
        <v>215</v>
      </c>
      <c r="F84" s="4" t="s">
        <v>216</v>
      </c>
    </row>
    <row r="85" spans="1:6" x14ac:dyDescent="0.25">
      <c r="A85" t="s">
        <v>28</v>
      </c>
      <c r="B85" t="s">
        <v>11</v>
      </c>
      <c r="C85" t="s">
        <v>49</v>
      </c>
      <c r="D85">
        <v>11892556.83</v>
      </c>
      <c r="E85" t="s">
        <v>217</v>
      </c>
      <c r="F85" s="4" t="s">
        <v>218</v>
      </c>
    </row>
    <row r="86" spans="1:6" x14ac:dyDescent="0.25">
      <c r="A86" t="s">
        <v>28</v>
      </c>
      <c r="B86" t="s">
        <v>11</v>
      </c>
      <c r="C86" t="s">
        <v>49</v>
      </c>
      <c r="D86">
        <v>2419883.16</v>
      </c>
      <c r="E86" t="s">
        <v>219</v>
      </c>
      <c r="F86" s="4" t="s">
        <v>220</v>
      </c>
    </row>
    <row r="87" spans="1:6" x14ac:dyDescent="0.25">
      <c r="A87" t="s">
        <v>28</v>
      </c>
      <c r="B87" t="s">
        <v>11</v>
      </c>
      <c r="C87" t="s">
        <v>49</v>
      </c>
      <c r="D87">
        <v>11950977.59</v>
      </c>
      <c r="E87" t="s">
        <v>221</v>
      </c>
      <c r="F87" s="4" t="s">
        <v>222</v>
      </c>
    </row>
    <row r="88" spans="1:6" x14ac:dyDescent="0.25">
      <c r="A88" t="s">
        <v>28</v>
      </c>
      <c r="B88" t="s">
        <v>11</v>
      </c>
      <c r="C88" t="s">
        <v>49</v>
      </c>
      <c r="D88">
        <v>13381523.220000001</v>
      </c>
      <c r="E88" t="s">
        <v>223</v>
      </c>
      <c r="F88" s="4" t="s">
        <v>224</v>
      </c>
    </row>
    <row r="89" spans="1:6" x14ac:dyDescent="0.25">
      <c r="A89" t="s">
        <v>28</v>
      </c>
      <c r="B89" t="s">
        <v>11</v>
      </c>
      <c r="C89" t="s">
        <v>49</v>
      </c>
      <c r="D89">
        <v>89965625.310000002</v>
      </c>
      <c r="E89" t="s">
        <v>225</v>
      </c>
      <c r="F89" s="4" t="s">
        <v>226</v>
      </c>
    </row>
    <row r="90" spans="1:6" x14ac:dyDescent="0.25">
      <c r="A90" t="s">
        <v>28</v>
      </c>
      <c r="B90" t="s">
        <v>11</v>
      </c>
      <c r="C90" t="s">
        <v>49</v>
      </c>
      <c r="D90">
        <v>2514562.92</v>
      </c>
      <c r="E90" t="s">
        <v>227</v>
      </c>
      <c r="F90" s="4" t="s">
        <v>228</v>
      </c>
    </row>
    <row r="91" spans="1:6" x14ac:dyDescent="0.25">
      <c r="A91" t="s">
        <v>28</v>
      </c>
      <c r="B91" t="s">
        <v>11</v>
      </c>
      <c r="C91" t="s">
        <v>49</v>
      </c>
      <c r="D91">
        <v>46964725.830000013</v>
      </c>
      <c r="E91" t="s">
        <v>229</v>
      </c>
      <c r="F91" s="4" t="s">
        <v>230</v>
      </c>
    </row>
    <row r="92" spans="1:6" x14ac:dyDescent="0.25">
      <c r="A92" t="s">
        <v>28</v>
      </c>
      <c r="B92" t="s">
        <v>11</v>
      </c>
      <c r="C92" t="s">
        <v>49</v>
      </c>
      <c r="D92">
        <v>90077684.579999998</v>
      </c>
      <c r="E92" t="s">
        <v>231</v>
      </c>
      <c r="F92" s="4" t="s">
        <v>232</v>
      </c>
    </row>
    <row r="93" spans="1:6" x14ac:dyDescent="0.25">
      <c r="A93" t="s">
        <v>28</v>
      </c>
      <c r="B93" t="s">
        <v>11</v>
      </c>
      <c r="C93" t="s">
        <v>49</v>
      </c>
      <c r="D93">
        <v>50818037.049999997</v>
      </c>
      <c r="E93" t="s">
        <v>233</v>
      </c>
      <c r="F93" s="4" t="s">
        <v>234</v>
      </c>
    </row>
    <row r="94" spans="1:6" x14ac:dyDescent="0.25">
      <c r="A94" t="s">
        <v>28</v>
      </c>
      <c r="B94" t="s">
        <v>11</v>
      </c>
      <c r="C94" t="s">
        <v>49</v>
      </c>
      <c r="D94">
        <v>2524087.4</v>
      </c>
      <c r="E94" t="s">
        <v>235</v>
      </c>
      <c r="F94" s="4" t="s">
        <v>236</v>
      </c>
    </row>
    <row r="95" spans="1:6" x14ac:dyDescent="0.25">
      <c r="A95" t="s">
        <v>29</v>
      </c>
      <c r="B95" t="s">
        <v>11</v>
      </c>
      <c r="C95" t="s">
        <v>106</v>
      </c>
      <c r="D95">
        <v>145086631.88</v>
      </c>
      <c r="E95" t="s">
        <v>237</v>
      </c>
      <c r="F95" s="4" t="s">
        <v>238</v>
      </c>
    </row>
    <row r="96" spans="1:6" x14ac:dyDescent="0.25">
      <c r="A96" t="s">
        <v>29</v>
      </c>
      <c r="B96" t="s">
        <v>11</v>
      </c>
      <c r="C96" t="s">
        <v>63</v>
      </c>
      <c r="D96">
        <v>-149706041.80000001</v>
      </c>
      <c r="E96" t="s">
        <v>239</v>
      </c>
      <c r="F96" s="4" t="s">
        <v>240</v>
      </c>
    </row>
    <row r="97" spans="1:6" x14ac:dyDescent="0.25">
      <c r="A97" t="s">
        <v>30</v>
      </c>
      <c r="B97" t="s">
        <v>11</v>
      </c>
      <c r="C97" t="s">
        <v>46</v>
      </c>
      <c r="D97">
        <v>75673518.819999993</v>
      </c>
      <c r="E97" t="s">
        <v>241</v>
      </c>
      <c r="F97" s="4" t="s">
        <v>242</v>
      </c>
    </row>
    <row r="98" spans="1:6" x14ac:dyDescent="0.25">
      <c r="A98" t="s">
        <v>30</v>
      </c>
      <c r="B98" t="s">
        <v>11</v>
      </c>
      <c r="C98" t="s">
        <v>46</v>
      </c>
      <c r="D98">
        <v>64359399.569999993</v>
      </c>
      <c r="E98" t="s">
        <v>243</v>
      </c>
      <c r="F98" s="4" t="s">
        <v>244</v>
      </c>
    </row>
    <row r="99" spans="1:6" x14ac:dyDescent="0.25">
      <c r="A99" t="s">
        <v>31</v>
      </c>
      <c r="B99" t="s">
        <v>11</v>
      </c>
      <c r="C99" t="s">
        <v>46</v>
      </c>
      <c r="D99">
        <v>67016865.369999997</v>
      </c>
      <c r="E99" t="s">
        <v>245</v>
      </c>
      <c r="F99" s="4" t="s">
        <v>246</v>
      </c>
    </row>
    <row r="100" spans="1:6" x14ac:dyDescent="0.25">
      <c r="A100" t="s">
        <v>32</v>
      </c>
      <c r="B100" t="s">
        <v>11</v>
      </c>
      <c r="C100" t="s">
        <v>63</v>
      </c>
      <c r="D100">
        <v>-149706041.80000001</v>
      </c>
      <c r="E100" t="s">
        <v>247</v>
      </c>
      <c r="F100" s="4" t="s">
        <v>248</v>
      </c>
    </row>
    <row r="101" spans="1:6" x14ac:dyDescent="0.25">
      <c r="A101" t="s">
        <v>33</v>
      </c>
      <c r="B101" t="s">
        <v>34</v>
      </c>
      <c r="C101" t="s">
        <v>46</v>
      </c>
      <c r="D101">
        <v>0</v>
      </c>
      <c r="E101" t="s">
        <v>249</v>
      </c>
      <c r="F101" s="4" t="s">
        <v>250</v>
      </c>
    </row>
    <row r="102" spans="1:6" x14ac:dyDescent="0.25">
      <c r="A102" t="s">
        <v>33</v>
      </c>
      <c r="B102" t="s">
        <v>34</v>
      </c>
      <c r="C102" t="s">
        <v>49</v>
      </c>
      <c r="D102">
        <v>95846409.310000002</v>
      </c>
      <c r="E102" t="s">
        <v>251</v>
      </c>
      <c r="F102" s="4" t="s">
        <v>252</v>
      </c>
    </row>
    <row r="103" spans="1:6" x14ac:dyDescent="0.25">
      <c r="A103" t="s">
        <v>35</v>
      </c>
      <c r="B103" t="s">
        <v>36</v>
      </c>
      <c r="C103" t="s">
        <v>63</v>
      </c>
      <c r="D103">
        <v>0</v>
      </c>
      <c r="E103" t="s">
        <v>253</v>
      </c>
      <c r="F103" s="4" t="s">
        <v>254</v>
      </c>
    </row>
    <row r="104" spans="1:6" x14ac:dyDescent="0.25">
      <c r="A104" t="s">
        <v>37</v>
      </c>
      <c r="B104" t="s">
        <v>36</v>
      </c>
      <c r="C104" t="s">
        <v>106</v>
      </c>
      <c r="D104">
        <v>0</v>
      </c>
      <c r="E104" t="s">
        <v>255</v>
      </c>
      <c r="F104" s="4" t="s">
        <v>256</v>
      </c>
    </row>
    <row r="105" spans="1:6" x14ac:dyDescent="0.25">
      <c r="A105" t="s">
        <v>38</v>
      </c>
      <c r="B105" t="s">
        <v>36</v>
      </c>
      <c r="C105" t="s">
        <v>54</v>
      </c>
      <c r="D105">
        <v>287217824.33999997</v>
      </c>
      <c r="E105" t="s">
        <v>257</v>
      </c>
      <c r="F105" s="4" t="s">
        <v>258</v>
      </c>
    </row>
    <row r="106" spans="1:6" x14ac:dyDescent="0.25">
      <c r="A106" t="s">
        <v>39</v>
      </c>
      <c r="B106" t="s">
        <v>36</v>
      </c>
      <c r="C106" t="s">
        <v>106</v>
      </c>
      <c r="D106">
        <v>0</v>
      </c>
      <c r="E106" t="s">
        <v>259</v>
      </c>
      <c r="F106" s="4" t="s">
        <v>260</v>
      </c>
    </row>
    <row r="107" spans="1:6" x14ac:dyDescent="0.25">
      <c r="A107" t="s">
        <v>39</v>
      </c>
      <c r="B107" t="s">
        <v>36</v>
      </c>
      <c r="C107" t="s">
        <v>106</v>
      </c>
      <c r="D107">
        <v>0</v>
      </c>
      <c r="E107" t="s">
        <v>261</v>
      </c>
      <c r="F107" s="4" t="s">
        <v>262</v>
      </c>
    </row>
    <row r="108" spans="1:6" x14ac:dyDescent="0.25">
      <c r="A108" t="s">
        <v>40</v>
      </c>
      <c r="B108" t="s">
        <v>36</v>
      </c>
      <c r="C108" t="s">
        <v>106</v>
      </c>
      <c r="D108">
        <v>0</v>
      </c>
      <c r="E108" t="s">
        <v>263</v>
      </c>
      <c r="F108" s="4" t="s">
        <v>264</v>
      </c>
    </row>
    <row r="109" spans="1:6" x14ac:dyDescent="0.25">
      <c r="A109" t="s">
        <v>41</v>
      </c>
      <c r="B109" t="s">
        <v>36</v>
      </c>
      <c r="C109" t="s">
        <v>106</v>
      </c>
      <c r="D109">
        <v>0</v>
      </c>
      <c r="E109" t="s">
        <v>265</v>
      </c>
      <c r="F109" s="4" t="s">
        <v>266</v>
      </c>
    </row>
    <row r="110" spans="1:6" x14ac:dyDescent="0.25">
      <c r="A110" t="s">
        <v>41</v>
      </c>
      <c r="B110" t="s">
        <v>36</v>
      </c>
      <c r="C110" t="s">
        <v>106</v>
      </c>
      <c r="D110">
        <v>0</v>
      </c>
      <c r="E110" t="s">
        <v>267</v>
      </c>
      <c r="F110" s="4" t="s">
        <v>268</v>
      </c>
    </row>
  </sheetData>
  <hyperlinks>
    <hyperlink ref="F100" r:id="rId1" xr:uid="{B1CE1BC1-AC98-4AE7-8FFC-237CADB0DFCD}"/>
    <hyperlink ref="F29" r:id="rId2" xr:uid="{E5AA26B8-555F-45D8-916D-1D34CF215CEB}"/>
    <hyperlink ref="F11" r:id="rId3" xr:uid="{AB5C0CC7-0563-4924-A7F2-F26536C6F650}"/>
    <hyperlink ref="F9" r:id="rId4" xr:uid="{D7A4EC57-2B40-443C-9344-4A673FF6814F}"/>
    <hyperlink ref="F10" r:id="rId5" xr:uid="{1A7A03C6-295E-4001-A7E1-D054830BDA2D}"/>
    <hyperlink ref="F2" r:id="rId6" xr:uid="{E1BD5B56-55A3-4DEA-B32C-7174D059C673}"/>
    <hyperlink ref="F3" r:id="rId7" xr:uid="{6D321D0D-B13B-4191-A8F0-08E28D2EA81A}"/>
    <hyperlink ref="F4" r:id="rId8" xr:uid="{D1C36998-6876-468A-AEAA-0CB4298F5EC5}"/>
    <hyperlink ref="F5" r:id="rId9" xr:uid="{33F6D989-4E37-416E-A802-02B842D54CCC}"/>
    <hyperlink ref="F6" r:id="rId10" xr:uid="{47758BB7-8E9E-4434-ABB3-66C2004C3038}"/>
    <hyperlink ref="F7" r:id="rId11" xr:uid="{E421FD7C-6D3A-4B8B-B9C5-E964204A4485}"/>
    <hyperlink ref="F8" r:id="rId12" xr:uid="{E1BEC2C7-CD0F-4C0A-8034-9E436938F1AA}"/>
    <hyperlink ref="F12" r:id="rId13" xr:uid="{4E518ED0-CB7E-4B86-AC6A-0D7E86EDD771}"/>
    <hyperlink ref="F13" r:id="rId14" xr:uid="{432A332A-7258-44C5-AB4A-EEC3C77C13E7}"/>
    <hyperlink ref="F14" r:id="rId15" xr:uid="{BF7C1D3B-647E-40D3-834E-1A141EEF703F}"/>
    <hyperlink ref="F15" r:id="rId16" xr:uid="{B37F2226-3405-4FF9-84DC-6DE888861741}"/>
    <hyperlink ref="F16" r:id="rId17" xr:uid="{EF980939-8EBC-466C-A44C-BC0DD4ACD4B0}"/>
    <hyperlink ref="F17" r:id="rId18" xr:uid="{C3348DC8-B849-4D89-99EF-517752819FE5}"/>
    <hyperlink ref="F18" r:id="rId19" xr:uid="{2C84509D-2DB4-4ADA-9215-2ECC8C3365C0}"/>
    <hyperlink ref="F19" r:id="rId20" xr:uid="{A750A63A-0ABA-4D04-97F6-5A8F166AB4CB}"/>
    <hyperlink ref="F20" r:id="rId21" xr:uid="{1DBC3478-116A-4806-91F2-CF726F51821B}"/>
    <hyperlink ref="F21" r:id="rId22" xr:uid="{15F80952-4C1F-45A2-BA90-C76C30D14794}"/>
    <hyperlink ref="F22" r:id="rId23" xr:uid="{F3ED218C-757F-49CE-8B4F-DC27377B27F3}"/>
    <hyperlink ref="F23" r:id="rId24" xr:uid="{0B2C3CE8-C030-4FF1-AE95-322DFD230133}"/>
    <hyperlink ref="F24" r:id="rId25" xr:uid="{148BC7C1-FCEC-4B9C-85F9-833F37FD65EA}"/>
    <hyperlink ref="F25" r:id="rId26" xr:uid="{E34A6E98-D3B4-464F-8660-C8271D1C7D95}"/>
    <hyperlink ref="F26" r:id="rId27" xr:uid="{F28C3D89-9FDF-4AF6-A203-40B97D175830}"/>
    <hyperlink ref="F27" r:id="rId28" xr:uid="{DCBFA7FB-8178-4976-B596-B9C5982AC09F}"/>
    <hyperlink ref="F28" r:id="rId29" xr:uid="{A166BD1E-0F83-46EE-BB14-6E2F7D018B3F}"/>
    <hyperlink ref="F30" r:id="rId30" xr:uid="{82546786-512E-4922-A586-46C573E4DCDB}"/>
    <hyperlink ref="F31" r:id="rId31" xr:uid="{CB40E637-DB6D-4073-B7D0-C76931EA9473}"/>
    <hyperlink ref="F32" r:id="rId32" xr:uid="{63669EF4-4E62-4A67-BAA1-B8A257BE78DC}"/>
    <hyperlink ref="F33" r:id="rId33" xr:uid="{FF42D142-5DBA-44A8-B5F7-2FCDA3B64625}"/>
    <hyperlink ref="F34" r:id="rId34" xr:uid="{28F41973-E28C-46D8-928E-47D1B3C685C0}"/>
    <hyperlink ref="F35" r:id="rId35" xr:uid="{01CF0292-E535-4786-8329-A12C88938213}"/>
    <hyperlink ref="F36" r:id="rId36" xr:uid="{FE686D71-D1A4-44D8-8DB9-2094D340324C}"/>
    <hyperlink ref="F37" r:id="rId37" xr:uid="{F1F983D9-554B-4790-ABF0-9DDE72141817}"/>
    <hyperlink ref="F38" r:id="rId38" xr:uid="{FFD8EE40-1CE3-452D-8CE4-EB37319A004D}"/>
    <hyperlink ref="F39" r:id="rId39" xr:uid="{9A22A6BF-9D9C-4555-B035-5125976687FA}"/>
    <hyperlink ref="F40" r:id="rId40" xr:uid="{716FAC45-71BF-4803-BFB1-7E440026DC34}"/>
    <hyperlink ref="F41" r:id="rId41" xr:uid="{C992AAD7-342F-4F63-BC3D-7D6AFD910D38}"/>
    <hyperlink ref="F42" r:id="rId42" xr:uid="{FEB0B5EF-99A8-470C-8B21-DCB6F5118E2A}"/>
    <hyperlink ref="F43" r:id="rId43" xr:uid="{FB8064B2-A0E6-4D8D-B410-520979F80BB6}"/>
    <hyperlink ref="F44" r:id="rId44" xr:uid="{5599957A-9E57-42E5-8592-E3A5CB636B7C}"/>
    <hyperlink ref="F45" r:id="rId45" xr:uid="{D7D5F934-B59E-4B6D-B42D-D33AAAC1E2A2}"/>
    <hyperlink ref="F46" r:id="rId46" xr:uid="{BDAF0A16-DEB4-47F4-9374-CF42A62BE165}"/>
    <hyperlink ref="F47" r:id="rId47" xr:uid="{5D8C96B8-533F-4C2A-BA2E-254D3EBB6843}"/>
    <hyperlink ref="F48" r:id="rId48" xr:uid="{DC62759C-F2B1-48C9-B10A-29EC075D8DE1}"/>
    <hyperlink ref="F49" r:id="rId49" xr:uid="{0F481CC0-EE7E-408A-997D-E470A0C4E2E5}"/>
    <hyperlink ref="F50" r:id="rId50" xr:uid="{C9A7EB51-BCCD-426C-9C4B-66ADC00B720B}"/>
    <hyperlink ref="F51" r:id="rId51" xr:uid="{5EECBA25-2989-47B4-AEFE-0F449C279300}"/>
    <hyperlink ref="F52" r:id="rId52" xr:uid="{A90BB459-189E-4326-BE86-BF42C48C0B67}"/>
    <hyperlink ref="F53" r:id="rId53" xr:uid="{B8021CC8-526C-48B4-982C-668F2513367B}"/>
    <hyperlink ref="F54" r:id="rId54" xr:uid="{68B37CEB-DF5C-4FEA-89AB-D1FB32481864}"/>
    <hyperlink ref="F55" r:id="rId55" xr:uid="{8346727A-AF41-4CA5-A473-31CA33469D2D}"/>
    <hyperlink ref="F56" r:id="rId56" xr:uid="{A71042CE-6DD6-4F90-9CE3-75F2D0570BCA}"/>
    <hyperlink ref="F57" r:id="rId57" xr:uid="{445E5F0C-506C-417C-82F4-438608583974}"/>
    <hyperlink ref="F58" r:id="rId58" xr:uid="{11FD07C2-8F51-436E-BB6B-45C4D0D87BF7}"/>
    <hyperlink ref="F59" r:id="rId59" xr:uid="{02AEDC79-B8CF-4C20-8E49-6CEBEBBFE190}"/>
    <hyperlink ref="F60" r:id="rId60" xr:uid="{3151DB20-14B2-4B33-A303-2C8C3093B999}"/>
    <hyperlink ref="F61" r:id="rId61" xr:uid="{47F9EE4A-6351-4693-94B1-9639BBA89B47}"/>
    <hyperlink ref="F62" r:id="rId62" xr:uid="{0793D455-8544-4814-83C1-C01EFA549644}"/>
    <hyperlink ref="F63" r:id="rId63" xr:uid="{9F325173-DCA7-46F2-8BAB-6DB35F62AD09}"/>
    <hyperlink ref="F64" r:id="rId64" xr:uid="{6D381FF7-C77C-408D-9B07-C15355EC67FF}"/>
    <hyperlink ref="F65" r:id="rId65" xr:uid="{C9644BEC-478F-4028-92EC-81BFE1E23E41}"/>
    <hyperlink ref="F66" r:id="rId66" xr:uid="{4030773A-AF75-4E98-A238-1442968B6FD1}"/>
    <hyperlink ref="F67" r:id="rId67" xr:uid="{12AD0E68-3EB0-47B6-B42F-F8E9F3C4D207}"/>
    <hyperlink ref="F68" r:id="rId68" xr:uid="{DBF6AE6A-AECE-4D10-A450-F2E664A47712}"/>
    <hyperlink ref="F69" r:id="rId69" xr:uid="{AE52356F-BA66-46E0-AD96-610FF693D83E}"/>
    <hyperlink ref="F71" r:id="rId70" xr:uid="{F398338C-7302-4B18-AF3C-85820792018B}"/>
    <hyperlink ref="F72" r:id="rId71" xr:uid="{3FE020DA-08FC-41E3-8DC9-BBB896B7F24D}"/>
    <hyperlink ref="F70" r:id="rId72" xr:uid="{5D4E97D0-CE47-4D1C-B03F-69649C90C00D}"/>
    <hyperlink ref="F73" r:id="rId73" xr:uid="{645B51D9-43E3-4A26-ADA5-0C5CC1BC68F3}"/>
    <hyperlink ref="F74" r:id="rId74" xr:uid="{A812DABE-AB78-49C5-8C4B-908AB07ACDE8}"/>
    <hyperlink ref="F75" r:id="rId75" xr:uid="{2C0084D9-C859-43C2-AB04-09C4C3C80BFA}"/>
    <hyperlink ref="F76" r:id="rId76" xr:uid="{E9E9769E-DFA1-4AE2-BDC3-53C6927BEBBD}"/>
    <hyperlink ref="F77" r:id="rId77" xr:uid="{224AF2C4-BABF-4772-817B-4218E1345337}"/>
    <hyperlink ref="F78" r:id="rId78" xr:uid="{BAD40E7D-212F-483A-9E4D-D3CFEC85FD0C}"/>
    <hyperlink ref="F80" r:id="rId79" xr:uid="{455B1182-47B8-4BAC-A5D8-C0EECAE70EF2}"/>
    <hyperlink ref="F79" r:id="rId80" xr:uid="{EE4F466F-0302-4834-9580-B516AE8F03B8}"/>
    <hyperlink ref="F81" r:id="rId81" xr:uid="{15C762EB-7FA1-4146-A6D8-B81B034BB034}"/>
    <hyperlink ref="F83" r:id="rId82" xr:uid="{16132265-7D3F-4B7C-BF50-2AD0A7B8233F}"/>
    <hyperlink ref="F82" r:id="rId83" xr:uid="{06D7C3D2-F2A4-4293-A461-394AAEFA25B2}"/>
    <hyperlink ref="F84" r:id="rId84" xr:uid="{5DFABF10-581C-4C62-9900-D7A924009D13}"/>
    <hyperlink ref="F85" r:id="rId85" xr:uid="{6589EF78-ACEC-4A3C-BD18-38EAFE3A4D27}"/>
    <hyperlink ref="F86" r:id="rId86" xr:uid="{6B7267AC-4767-4100-B0A7-20281F194A96}"/>
    <hyperlink ref="F87" r:id="rId87" xr:uid="{D9E120EE-8305-40E8-B8B1-2A3C95CD2CC9}"/>
    <hyperlink ref="F88" r:id="rId88" xr:uid="{741324DA-5AD7-4EC8-BE51-12FBD06CB74A}"/>
    <hyperlink ref="F89" r:id="rId89" xr:uid="{4F46800E-581E-44C9-9522-9FB991D2E172}"/>
    <hyperlink ref="F90" r:id="rId90" xr:uid="{C404DA64-091B-402E-BE3F-24CA9CF0653E}"/>
    <hyperlink ref="F91" r:id="rId91" xr:uid="{B94335CE-661C-4210-8D9B-77490FAD544A}"/>
    <hyperlink ref="F92" r:id="rId92" xr:uid="{90F110D4-1B30-4784-8154-AF14424A8547}"/>
    <hyperlink ref="F93" r:id="rId93" xr:uid="{B4AB701B-A296-4A0E-8916-48DF912931D0}"/>
    <hyperlink ref="F95" r:id="rId94" xr:uid="{6E042CC2-D778-4DB5-A1FA-32E3D4142191}"/>
    <hyperlink ref="F96" r:id="rId95" xr:uid="{83AEDAE0-C5EA-4E3B-ACE6-0795820CD857}"/>
    <hyperlink ref="F97" r:id="rId96" xr:uid="{A5FCC63D-D6CB-4003-8D41-17C4CA222899}"/>
    <hyperlink ref="F98" r:id="rId97" xr:uid="{41536E16-8D8F-4B54-869D-7199D77D2025}"/>
    <hyperlink ref="F99" r:id="rId98" xr:uid="{CE05C9F9-522C-4439-8521-43CCA3E82483}"/>
    <hyperlink ref="F94" r:id="rId99" xr:uid="{6A60B31D-862A-43BF-B2F1-26BEAD91134E}"/>
    <hyperlink ref="F101" r:id="rId100" xr:uid="{39F5C8F7-F4C9-4C6B-80DC-7CB9FFFFB7DA}"/>
    <hyperlink ref="F102" r:id="rId101" xr:uid="{C8E11815-824F-4664-8AB4-9376060491BB}"/>
    <hyperlink ref="F103" r:id="rId102" xr:uid="{EC7A122A-0ED2-4A0E-9071-0360E4D297E6}"/>
    <hyperlink ref="F104" r:id="rId103" xr:uid="{6091AC40-AC3C-4FAB-BE6A-1DB30F64A188}"/>
    <hyperlink ref="F105" r:id="rId104" xr:uid="{AB4E3035-04E6-4FDF-B664-24BC5CB9F878}"/>
    <hyperlink ref="F106" r:id="rId105" xr:uid="{F6F89750-A3B3-4C52-83F4-7653458C0BBC}"/>
    <hyperlink ref="F107" r:id="rId106" xr:uid="{023ABD9E-6734-40A0-9698-BB4AA24968B2}"/>
    <hyperlink ref="F108" r:id="rId107" xr:uid="{D797B9BC-4964-455B-B64B-57D681E21081}"/>
    <hyperlink ref="F109" r:id="rId108" xr:uid="{056191B5-651C-4C76-9435-59FAB236928D}"/>
    <hyperlink ref="F110" r:id="rId109" xr:uid="{5C79D44C-5FCD-4890-97B5-2D4D369E860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abSelected="1" workbookViewId="0">
      <selection activeCell="D33" sqref="D33"/>
    </sheetView>
  </sheetViews>
  <sheetFormatPr defaultRowHeight="15" x14ac:dyDescent="0.25"/>
  <cols>
    <col min="3" max="3" width="15.140625" customWidth="1"/>
    <col min="4" max="4" width="18.42578125" customWidth="1"/>
    <col min="5" max="5" width="26.140625" customWidth="1"/>
  </cols>
  <sheetData>
    <row r="1" spans="1:5" x14ac:dyDescent="0.25">
      <c r="A1" s="1" t="s">
        <v>1</v>
      </c>
      <c r="B1" s="1" t="s">
        <v>2</v>
      </c>
      <c r="C1" s="1" t="s">
        <v>269</v>
      </c>
      <c r="D1" s="1" t="s">
        <v>270</v>
      </c>
      <c r="E1" s="1" t="s">
        <v>271</v>
      </c>
    </row>
    <row r="2" spans="1:5" x14ac:dyDescent="0.25">
      <c r="A2" t="s">
        <v>5</v>
      </c>
      <c r="B2" t="s">
        <v>6</v>
      </c>
      <c r="C2" s="2">
        <f>SUMIFS('Links for check'!D:D, 'Links for check'!A:A, A2, 'Links for check'!C:C, "&lt;&gt;LightShip_links")</f>
        <v>0</v>
      </c>
      <c r="D2" s="2">
        <f>SUMIFS('Links for check'!D:D, 'Links for check'!A:A, A2, 'Links for check'!C:C, "LightShip_links")</f>
        <v>0</v>
      </c>
      <c r="E2" s="2">
        <f t="shared" ref="E2:E30" si="0">C2+D2</f>
        <v>0</v>
      </c>
    </row>
    <row r="3" spans="1:5" x14ac:dyDescent="0.25">
      <c r="A3" t="s">
        <v>8</v>
      </c>
      <c r="B3" t="s">
        <v>9</v>
      </c>
      <c r="C3" s="2">
        <f>SUMIFS('Links for check'!D:D, 'Links for check'!A:A, A3, 'Links for check'!C:C, "&lt;&gt;LightShip_links")</f>
        <v>727404769.38999999</v>
      </c>
      <c r="D3" s="2">
        <f>SUMIFS('Links for check'!D:D, 'Links for check'!A:A, A3, 'Links for check'!C:C, "LightShip_links")</f>
        <v>0</v>
      </c>
      <c r="E3" s="2">
        <f t="shared" si="0"/>
        <v>727404769.38999999</v>
      </c>
    </row>
    <row r="4" spans="1:5" x14ac:dyDescent="0.25">
      <c r="A4" t="s">
        <v>10</v>
      </c>
      <c r="B4" t="s">
        <v>11</v>
      </c>
      <c r="C4" s="2">
        <f>SUMIFS('Links for check'!D:D, 'Links for check'!A:A, A4, 'Links for check'!C:C, "&lt;&gt;LightShip_links")</f>
        <v>505993368.33999997</v>
      </c>
      <c r="D4" s="2">
        <f>SUMIFS('Links for check'!D:D, 'Links for check'!A:A, A4, 'Links for check'!C:C, "LightShip_links")</f>
        <v>0</v>
      </c>
      <c r="E4" s="2">
        <f t="shared" si="0"/>
        <v>505993368.33999997</v>
      </c>
    </row>
    <row r="5" spans="1:5" x14ac:dyDescent="0.25">
      <c r="A5" t="s">
        <v>12</v>
      </c>
      <c r="B5" t="s">
        <v>11</v>
      </c>
      <c r="C5" s="2">
        <f>SUMIFS('Links for check'!D:D, 'Links for check'!A:A, A5, 'Links for check'!C:C, "&lt;&gt;LightShip_links")</f>
        <v>261725992.11000001</v>
      </c>
      <c r="D5" s="2">
        <f>SUMIFS('Links for check'!D:D, 'Links for check'!A:A, A5, 'Links for check'!C:C, "LightShip_links")</f>
        <v>0</v>
      </c>
      <c r="E5" s="2">
        <f t="shared" si="0"/>
        <v>261725992.11000001</v>
      </c>
    </row>
    <row r="6" spans="1:5" x14ac:dyDescent="0.25">
      <c r="A6" t="s">
        <v>13</v>
      </c>
      <c r="B6" t="s">
        <v>11</v>
      </c>
      <c r="C6" s="2">
        <f>SUMIFS('Links for check'!D:D, 'Links for check'!A:A, A6, 'Links for check'!C:C, "&lt;&gt;LightShip_links")</f>
        <v>0</v>
      </c>
      <c r="D6" s="2">
        <f>SUMIFS('Links for check'!D:D, 'Links for check'!A:A, A6, 'Links for check'!C:C, "LightShip_links")</f>
        <v>0</v>
      </c>
      <c r="E6" s="2">
        <f t="shared" si="0"/>
        <v>0</v>
      </c>
    </row>
    <row r="7" spans="1:5" x14ac:dyDescent="0.25">
      <c r="A7" t="s">
        <v>15</v>
      </c>
      <c r="B7" t="s">
        <v>11</v>
      </c>
      <c r="C7" s="2">
        <f>SUMIFS('Links for check'!D:D, 'Links for check'!A:A, A7, 'Links for check'!C:C, "&lt;&gt;LightShip_links")</f>
        <v>-149706041.80000001</v>
      </c>
      <c r="D7" s="2">
        <f>SUMIFS('Links for check'!D:D, 'Links for check'!A:A, A7, 'Links for check'!C:C, "LightShip_links")</f>
        <v>0</v>
      </c>
      <c r="E7" s="2">
        <f t="shared" si="0"/>
        <v>-149706041.80000001</v>
      </c>
    </row>
    <row r="8" spans="1:5" x14ac:dyDescent="0.25">
      <c r="A8" t="s">
        <v>17</v>
      </c>
      <c r="B8" t="s">
        <v>11</v>
      </c>
      <c r="C8" s="2">
        <f>SUMIFS('Links for check'!D:D, 'Links for check'!A:A, A8, 'Links for check'!C:C, "&lt;&gt;LightShip_links")</f>
        <v>-149706041.80000001</v>
      </c>
      <c r="D8" s="2">
        <f>SUMIFS('Links for check'!D:D, 'Links for check'!A:A, A8, 'Links for check'!C:C, "LightShip_links")</f>
        <v>0</v>
      </c>
      <c r="E8" s="2">
        <f t="shared" si="0"/>
        <v>-149706041.80000001</v>
      </c>
    </row>
    <row r="9" spans="1:5" x14ac:dyDescent="0.25">
      <c r="A9" t="s">
        <v>18</v>
      </c>
      <c r="B9" t="s">
        <v>11</v>
      </c>
      <c r="C9" s="2">
        <f>SUMIFS('Links for check'!D:D, 'Links for check'!A:A, A9, 'Links for check'!C:C, "&lt;&gt;LightShip_links")</f>
        <v>715482927.24000013</v>
      </c>
      <c r="D9" s="2">
        <f>SUMIFS('Links for check'!D:D, 'Links for check'!A:A, A9, 'Links for check'!C:C, "LightShip_links")</f>
        <v>0</v>
      </c>
      <c r="E9" s="2">
        <f t="shared" si="0"/>
        <v>715482927.24000013</v>
      </c>
    </row>
    <row r="10" spans="1:5" x14ac:dyDescent="0.25">
      <c r="A10" t="s">
        <v>19</v>
      </c>
      <c r="B10" t="s">
        <v>11</v>
      </c>
      <c r="C10" s="2">
        <f>SUMIFS('Links for check'!D:D, 'Links for check'!A:A, A10, 'Links for check'!C:C, "&lt;&gt;LightShip_links")</f>
        <v>295644199.61000001</v>
      </c>
      <c r="D10" s="2">
        <f>SUMIFS('Links for check'!D:D, 'Links for check'!A:A, A10, 'Links for check'!C:C, "LightShip_links")</f>
        <v>0</v>
      </c>
      <c r="E10" s="2">
        <f t="shared" si="0"/>
        <v>295644199.61000001</v>
      </c>
    </row>
    <row r="11" spans="1:5" x14ac:dyDescent="0.25">
      <c r="A11" t="s">
        <v>20</v>
      </c>
      <c r="B11" t="s">
        <v>11</v>
      </c>
      <c r="C11" s="2">
        <f>SUMIFS('Links for check'!D:D, 'Links for check'!A:A, A11, 'Links for check'!C:C, "&lt;&gt;LightShip_links")</f>
        <v>67348613.819999993</v>
      </c>
      <c r="D11" s="2">
        <f>SUMIFS('Links for check'!D:D, 'Links for check'!A:A, A11, 'Links for check'!C:C, "LightShip_links")</f>
        <v>0</v>
      </c>
      <c r="E11" s="2">
        <f t="shared" si="0"/>
        <v>67348613.819999993</v>
      </c>
    </row>
    <row r="12" spans="1:5" x14ac:dyDescent="0.25">
      <c r="A12" t="s">
        <v>21</v>
      </c>
      <c r="B12" t="s">
        <v>11</v>
      </c>
      <c r="C12" s="2">
        <f>SUMIFS('Links for check'!D:D, 'Links for check'!A:A, A12, 'Links for check'!C:C, "&lt;&gt;LightShip_links")</f>
        <v>320760769.31</v>
      </c>
      <c r="D12" s="2">
        <f>SUMIFS('Links for check'!D:D, 'Links for check'!A:A, A12, 'Links for check'!C:C, "LightShip_links")</f>
        <v>3129161.91</v>
      </c>
      <c r="E12" s="2">
        <f t="shared" si="0"/>
        <v>323889931.22000003</v>
      </c>
    </row>
    <row r="13" spans="1:5" x14ac:dyDescent="0.25">
      <c r="A13" t="s">
        <v>22</v>
      </c>
      <c r="B13" t="s">
        <v>11</v>
      </c>
      <c r="C13" s="2">
        <f>SUMIFS('Links for check'!D:D, 'Links for check'!A:A, A13, 'Links for check'!C:C, "&lt;&gt;LightShip_links")</f>
        <v>240648342.84</v>
      </c>
      <c r="D13" s="2">
        <f>SUMIFS('Links for check'!D:D, 'Links for check'!A:A, A13, 'Links for check'!C:C, "LightShip_links")</f>
        <v>0</v>
      </c>
      <c r="E13" s="2">
        <f t="shared" si="0"/>
        <v>240648342.84</v>
      </c>
    </row>
    <row r="14" spans="1:5" x14ac:dyDescent="0.25">
      <c r="A14" t="s">
        <v>23</v>
      </c>
      <c r="B14" t="s">
        <v>11</v>
      </c>
      <c r="C14" s="2">
        <f>SUMIFS('Links for check'!D:D, 'Links for check'!A:A, A14, 'Links for check'!C:C, "&lt;&gt;LightShip_links")</f>
        <v>0</v>
      </c>
      <c r="D14" s="2">
        <f>SUMIFS('Links for check'!D:D, 'Links for check'!A:A, A14, 'Links for check'!C:C, "LightShip_links")</f>
        <v>0</v>
      </c>
      <c r="E14" s="2">
        <f t="shared" si="0"/>
        <v>0</v>
      </c>
    </row>
    <row r="15" spans="1:5" x14ac:dyDescent="0.25">
      <c r="A15" t="s">
        <v>24</v>
      </c>
      <c r="B15" t="s">
        <v>11</v>
      </c>
      <c r="C15" s="2">
        <f>SUMIFS('Links for check'!D:D, 'Links for check'!A:A, A15, 'Links for check'!C:C, "&lt;&gt;LightShip_links")</f>
        <v>238180725.99000001</v>
      </c>
      <c r="D15" s="2">
        <f>SUMIFS('Links for check'!D:D, 'Links for check'!A:A, A15, 'Links for check'!C:C, "LightShip_links")</f>
        <v>0</v>
      </c>
      <c r="E15" s="2">
        <f t="shared" si="0"/>
        <v>238180725.99000001</v>
      </c>
    </row>
    <row r="16" spans="1:5" x14ac:dyDescent="0.25">
      <c r="A16" t="s">
        <v>25</v>
      </c>
      <c r="B16" t="s">
        <v>11</v>
      </c>
      <c r="C16" s="2">
        <f>SUMIFS('Links for check'!D:D, 'Links for check'!A:A, A16, 'Links for check'!C:C, "&lt;&gt;LightShip_links")</f>
        <v>115263736.34</v>
      </c>
      <c r="D16" s="2">
        <f>SUMIFS('Links for check'!D:D, 'Links for check'!A:A, A16, 'Links for check'!C:C, "LightShip_links")</f>
        <v>0</v>
      </c>
      <c r="E16" s="2">
        <f t="shared" si="0"/>
        <v>115263736.34</v>
      </c>
    </row>
    <row r="17" spans="1:5" x14ac:dyDescent="0.25">
      <c r="A17" t="s">
        <v>26</v>
      </c>
      <c r="B17" t="s">
        <v>11</v>
      </c>
      <c r="C17" s="2">
        <f>SUMIFS('Links for check'!D:D, 'Links for check'!A:A, A17, 'Links for check'!C:C, "&lt;&gt;LightShip_links")</f>
        <v>121239860.52</v>
      </c>
      <c r="D17" s="2">
        <f>SUMIFS('Links for check'!D:D, 'Links for check'!A:A, A17, 'Links for check'!C:C, "LightShip_links")</f>
        <v>0</v>
      </c>
      <c r="E17" s="2">
        <f t="shared" si="0"/>
        <v>121239860.52</v>
      </c>
    </row>
    <row r="18" spans="1:5" x14ac:dyDescent="0.25">
      <c r="A18" t="s">
        <v>27</v>
      </c>
      <c r="B18" t="s">
        <v>11</v>
      </c>
      <c r="C18" s="2">
        <f>SUMIFS('Links for check'!D:D, 'Links for check'!A:A, A18, 'Links for check'!C:C, "&lt;&gt;LightShip_links")</f>
        <v>29486419.600000001</v>
      </c>
      <c r="D18" s="2">
        <f>SUMIFS('Links for check'!D:D, 'Links for check'!A:A, A18, 'Links for check'!C:C, "LightShip_links")</f>
        <v>206831779.79999995</v>
      </c>
      <c r="E18" s="2">
        <f t="shared" si="0"/>
        <v>236318199.39999995</v>
      </c>
    </row>
    <row r="19" spans="1:5" x14ac:dyDescent="0.25">
      <c r="A19" t="s">
        <v>28</v>
      </c>
      <c r="B19" t="s">
        <v>11</v>
      </c>
      <c r="C19" s="2">
        <f>SUMIFS('Links for check'!D:D, 'Links for check'!A:A, A19, 'Links for check'!C:C, "&lt;&gt;LightShip_links")</f>
        <v>177899248.31</v>
      </c>
      <c r="D19" s="2">
        <f>SUMIFS('Links for check'!D:D, 'Links for check'!A:A, A19, 'Links for check'!C:C, "LightShip_links")</f>
        <v>334334698.56</v>
      </c>
      <c r="E19" s="2">
        <f t="shared" si="0"/>
        <v>512233946.87</v>
      </c>
    </row>
    <row r="20" spans="1:5" x14ac:dyDescent="0.25">
      <c r="A20" t="s">
        <v>29</v>
      </c>
      <c r="B20" t="s">
        <v>11</v>
      </c>
      <c r="C20" s="2">
        <f>SUMIFS('Links for check'!D:D, 'Links for check'!A:A, A20, 'Links for check'!C:C, "&lt;&gt;LightShip_links")</f>
        <v>-4619409.9200000167</v>
      </c>
      <c r="D20" s="2">
        <f>SUMIFS('Links for check'!D:D, 'Links for check'!A:A, A20, 'Links for check'!C:C, "LightShip_links")</f>
        <v>0</v>
      </c>
      <c r="E20" s="2">
        <f t="shared" si="0"/>
        <v>-4619409.9200000167</v>
      </c>
    </row>
    <row r="21" spans="1:5" x14ac:dyDescent="0.25">
      <c r="A21" t="s">
        <v>30</v>
      </c>
      <c r="B21" t="s">
        <v>11</v>
      </c>
      <c r="C21" s="2">
        <f>SUMIFS('Links for check'!D:D, 'Links for check'!A:A, A21, 'Links for check'!C:C, "&lt;&gt;LightShip_links")</f>
        <v>140032918.38999999</v>
      </c>
      <c r="D21" s="2">
        <f>SUMIFS('Links for check'!D:D, 'Links for check'!A:A, A21, 'Links for check'!C:C, "LightShip_links")</f>
        <v>0</v>
      </c>
      <c r="E21" s="2">
        <f t="shared" si="0"/>
        <v>140032918.38999999</v>
      </c>
    </row>
    <row r="22" spans="1:5" x14ac:dyDescent="0.25">
      <c r="A22" t="s">
        <v>31</v>
      </c>
      <c r="B22" t="s">
        <v>11</v>
      </c>
      <c r="C22" s="2">
        <f>SUMIFS('Links for check'!D:D, 'Links for check'!A:A, A22, 'Links for check'!C:C, "&lt;&gt;LightShip_links")</f>
        <v>67016865.369999997</v>
      </c>
      <c r="D22" s="2">
        <f>SUMIFS('Links for check'!D:D, 'Links for check'!A:A, A22, 'Links for check'!C:C, "LightShip_links")</f>
        <v>0</v>
      </c>
      <c r="E22" s="2">
        <f t="shared" si="0"/>
        <v>67016865.369999997</v>
      </c>
    </row>
    <row r="23" spans="1:5" x14ac:dyDescent="0.25">
      <c r="A23" t="s">
        <v>32</v>
      </c>
      <c r="B23" t="s">
        <v>11</v>
      </c>
      <c r="C23" s="2">
        <f>SUMIFS('Links for check'!D:D, 'Links for check'!A:A, A23, 'Links for check'!C:C, "&lt;&gt;LightShip_links")</f>
        <v>-149706041.80000001</v>
      </c>
      <c r="D23" s="2">
        <f>SUMIFS('Links for check'!D:D, 'Links for check'!A:A, A23, 'Links for check'!C:C, "LightShip_links")</f>
        <v>0</v>
      </c>
      <c r="E23" s="2">
        <f t="shared" si="0"/>
        <v>-149706041.80000001</v>
      </c>
    </row>
    <row r="24" spans="1:5" x14ac:dyDescent="0.25">
      <c r="A24" t="s">
        <v>33</v>
      </c>
      <c r="B24" t="s">
        <v>34</v>
      </c>
      <c r="C24" s="2">
        <f>SUMIFS('Links for check'!D:D, 'Links for check'!A:A, A24, 'Links for check'!C:C, "&lt;&gt;LightShip_links")</f>
        <v>0</v>
      </c>
      <c r="D24" s="2">
        <f>SUMIFS('Links for check'!D:D, 'Links for check'!A:A, A24, 'Links for check'!C:C, "LightShip_links")</f>
        <v>95846409.310000002</v>
      </c>
      <c r="E24" s="2">
        <f t="shared" si="0"/>
        <v>95846409.310000002</v>
      </c>
    </row>
    <row r="25" spans="1:5" x14ac:dyDescent="0.25">
      <c r="A25" t="s">
        <v>35</v>
      </c>
      <c r="B25" t="s">
        <v>36</v>
      </c>
      <c r="C25" s="2">
        <f>SUMIFS('Links for check'!D:D, 'Links for check'!A:A, A25, 'Links for check'!C:C, "&lt;&gt;LightShip_links")</f>
        <v>0</v>
      </c>
      <c r="D25" s="2">
        <f>SUMIFS('Links for check'!D:D, 'Links for check'!A:A, A25, 'Links for check'!C:C, "LightShip_links")</f>
        <v>0</v>
      </c>
      <c r="E25" s="2">
        <f t="shared" si="0"/>
        <v>0</v>
      </c>
    </row>
    <row r="26" spans="1:5" x14ac:dyDescent="0.25">
      <c r="A26" t="s">
        <v>37</v>
      </c>
      <c r="B26" t="s">
        <v>36</v>
      </c>
      <c r="C26" s="2">
        <f>SUMIFS('Links for check'!D:D, 'Links for check'!A:A, A26, 'Links for check'!C:C, "&lt;&gt;LightShip_links")</f>
        <v>0</v>
      </c>
      <c r="D26" s="2">
        <f>SUMIFS('Links for check'!D:D, 'Links for check'!A:A, A26, 'Links for check'!C:C, "LightShip_links")</f>
        <v>0</v>
      </c>
      <c r="E26" s="2">
        <f t="shared" si="0"/>
        <v>0</v>
      </c>
    </row>
    <row r="27" spans="1:5" x14ac:dyDescent="0.25">
      <c r="A27" t="s">
        <v>38</v>
      </c>
      <c r="B27" t="s">
        <v>36</v>
      </c>
      <c r="C27" s="2">
        <f>SUMIFS('Links for check'!D:D, 'Links for check'!A:A, A27, 'Links for check'!C:C, "&lt;&gt;LightShip_links")</f>
        <v>287217824.33999997</v>
      </c>
      <c r="D27" s="2">
        <f>SUMIFS('Links for check'!D:D, 'Links for check'!A:A, A27, 'Links for check'!C:C, "LightShip_links")</f>
        <v>0</v>
      </c>
      <c r="E27" s="2">
        <f t="shared" si="0"/>
        <v>287217824.33999997</v>
      </c>
    </row>
    <row r="28" spans="1:5" x14ac:dyDescent="0.25">
      <c r="A28" t="s">
        <v>39</v>
      </c>
      <c r="B28" t="s">
        <v>36</v>
      </c>
      <c r="C28" s="2">
        <f>SUMIFS('Links for check'!D:D, 'Links for check'!A:A, A28, 'Links for check'!C:C, "&lt;&gt;LightShip_links")</f>
        <v>0</v>
      </c>
      <c r="D28" s="2">
        <f>SUMIFS('Links for check'!D:D, 'Links for check'!A:A, A28, 'Links for check'!C:C, "LightShip_links")</f>
        <v>0</v>
      </c>
      <c r="E28" s="2">
        <f t="shared" si="0"/>
        <v>0</v>
      </c>
    </row>
    <row r="29" spans="1:5" x14ac:dyDescent="0.25">
      <c r="A29" t="s">
        <v>40</v>
      </c>
      <c r="B29" t="s">
        <v>36</v>
      </c>
      <c r="C29" s="2">
        <f>SUMIFS('Links for check'!D:D, 'Links for check'!A:A, A29, 'Links for check'!C:C, "&lt;&gt;LightShip_links")</f>
        <v>0</v>
      </c>
      <c r="D29" s="2">
        <f>SUMIFS('Links for check'!D:D, 'Links for check'!A:A, A29, 'Links for check'!C:C, "LightShip_links")</f>
        <v>0</v>
      </c>
      <c r="E29" s="2">
        <f t="shared" si="0"/>
        <v>0</v>
      </c>
    </row>
    <row r="30" spans="1:5" x14ac:dyDescent="0.25">
      <c r="A30" t="s">
        <v>41</v>
      </c>
      <c r="B30" t="s">
        <v>36</v>
      </c>
      <c r="C30" s="2">
        <f>SUMIFS('Links for check'!D:D, 'Links for check'!A:A, A30, 'Links for check'!C:C, "&lt;&gt;LightShip_links")</f>
        <v>0</v>
      </c>
      <c r="D30" s="2">
        <f>SUMIFS('Links for check'!D:D, 'Links for check'!A:A, A30, 'Links for check'!C:C, "LightShip_links")</f>
        <v>0</v>
      </c>
      <c r="E30" s="2">
        <f t="shared" si="0"/>
        <v>0</v>
      </c>
    </row>
    <row r="31" spans="1:5" x14ac:dyDescent="0.25">
      <c r="B31" s="3" t="s">
        <v>272</v>
      </c>
      <c r="C31" s="5">
        <f>SUM(C2:C30)</f>
        <v>3857609046.2000008</v>
      </c>
      <c r="D31" s="5">
        <f>SUM(D2:D30)</f>
        <v>640142049.57999992</v>
      </c>
      <c r="E31" s="5">
        <f>SUM(E2:E30)</f>
        <v>4497751095.7800007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Links for check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Шутов</cp:lastModifiedBy>
  <dcterms:created xsi:type="dcterms:W3CDTF">2025-05-05T00:34:36Z</dcterms:created>
  <dcterms:modified xsi:type="dcterms:W3CDTF">2025-05-05T00:54:05Z</dcterms:modified>
</cp:coreProperties>
</file>
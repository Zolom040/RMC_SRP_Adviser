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Links for check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Aliance</t>
        </is>
      </c>
      <c r="D1" s="1" t="inlineStr">
        <is>
          <t>total_cost</t>
        </is>
      </c>
      <c r="E1" s="1" t="inlineStr">
        <is>
          <t>natur_compens_ids</t>
        </is>
      </c>
    </row>
    <row r="2">
      <c r="A2" t="n">
        <v>96096443</v>
      </c>
      <c r="B2" t="inlineStr">
        <is>
          <t>Liliana Heretical</t>
        </is>
      </c>
      <c r="C2" t="inlineStr">
        <is>
          <t>-GFC-</t>
        </is>
      </c>
      <c r="D2" s="2">
        <f>Summary!E2</f>
        <v/>
      </c>
      <c r="E2" t="inlineStr">
        <is>
          <t>['17736']</t>
        </is>
      </c>
    </row>
    <row r="3">
      <c r="A3" t="n">
        <v>2116096518</v>
      </c>
      <c r="B3" t="inlineStr">
        <is>
          <t>DokTop- X</t>
        </is>
      </c>
      <c r="C3" t="inlineStr">
        <is>
          <t>RED</t>
        </is>
      </c>
      <c r="D3" s="2">
        <f>Summary!E3</f>
        <v/>
      </c>
      <c r="E3" t="inlineStr">
        <is>
          <t>[]</t>
        </is>
      </c>
    </row>
    <row r="4">
      <c r="A4" t="n">
        <v>2121841531</v>
      </c>
      <c r="B4" t="inlineStr">
        <is>
          <t>Pek Vadrya</t>
        </is>
      </c>
      <c r="C4" t="inlineStr">
        <is>
          <t>RED</t>
        </is>
      </c>
      <c r="D4" s="2">
        <f>Summary!E4</f>
        <v/>
      </c>
      <c r="E4" t="inlineStr">
        <is>
          <t>['17736']</t>
        </is>
      </c>
    </row>
    <row r="5">
      <c r="A5" t="n">
        <v>93741008</v>
      </c>
      <c r="B5" t="inlineStr">
        <is>
          <t>Quasari Mio</t>
        </is>
      </c>
      <c r="C5" t="inlineStr">
        <is>
          <t>RED</t>
        </is>
      </c>
      <c r="D5" s="2">
        <f>Summary!E5</f>
        <v/>
      </c>
      <c r="E5" t="inlineStr">
        <is>
          <t>[]</t>
        </is>
      </c>
    </row>
    <row r="6">
      <c r="A6" t="n">
        <v>2121444628</v>
      </c>
      <c r="B6" t="inlineStr">
        <is>
          <t>Sirena Redana</t>
        </is>
      </c>
      <c r="C6" t="inlineStr">
        <is>
          <t>RED</t>
        </is>
      </c>
      <c r="D6" s="2">
        <f>Summary!E6</f>
        <v/>
      </c>
      <c r="E6" t="inlineStr">
        <is>
          <t>[]</t>
        </is>
      </c>
    </row>
    <row r="7">
      <c r="A7" t="n">
        <v>2121442434</v>
      </c>
      <c r="B7" t="inlineStr">
        <is>
          <t>SviatoyAdidasiy</t>
        </is>
      </c>
      <c r="C7" t="inlineStr">
        <is>
          <t>RED</t>
        </is>
      </c>
      <c r="D7" s="2">
        <f>Summary!E7</f>
        <v/>
      </c>
      <c r="E7" t="inlineStr">
        <is>
          <t>['17736']</t>
        </is>
      </c>
    </row>
    <row r="8">
      <c r="A8" t="n">
        <v>2116799756</v>
      </c>
      <c r="B8" t="inlineStr">
        <is>
          <t>begi kaknikogda</t>
        </is>
      </c>
      <c r="C8" t="inlineStr">
        <is>
          <t>RED</t>
        </is>
      </c>
      <c r="D8" s="2">
        <f>Summary!E8</f>
        <v/>
      </c>
      <c r="E8" t="inlineStr">
        <is>
          <t>[]</t>
        </is>
      </c>
    </row>
    <row r="9">
      <c r="A9" t="n">
        <v>2115761861</v>
      </c>
      <c r="B9" t="inlineStr">
        <is>
          <t>iSingularis</t>
        </is>
      </c>
      <c r="C9" t="inlineStr">
        <is>
          <t>RED</t>
        </is>
      </c>
      <c r="D9" s="2">
        <f>Summary!E9</f>
        <v/>
      </c>
      <c r="E9" t="inlineStr">
        <is>
          <t>[]</t>
        </is>
      </c>
    </row>
    <row r="10">
      <c r="A10" t="n">
        <v>2114092438</v>
      </c>
      <c r="B10" t="inlineStr">
        <is>
          <t>panksteris</t>
        </is>
      </c>
      <c r="C10" t="inlineStr">
        <is>
          <t>RED</t>
        </is>
      </c>
      <c r="D10" s="2">
        <f>Summary!E10</f>
        <v/>
      </c>
      <c r="E10" t="inlineStr">
        <is>
          <t>[]</t>
        </is>
      </c>
    </row>
    <row r="11">
      <c r="A11" t="n">
        <v>95288163</v>
      </c>
      <c r="B11" t="inlineStr">
        <is>
          <t>MORTL</t>
        </is>
      </c>
      <c r="C11" t="inlineStr">
        <is>
          <t>RUS</t>
        </is>
      </c>
      <c r="D11" s="2">
        <f>Summary!E11</f>
        <v/>
      </c>
      <c r="E11" t="inlineStr">
        <is>
          <t>['17736']</t>
        </is>
      </c>
    </row>
    <row r="12">
      <c r="A12" t="n">
        <v>91602866</v>
      </c>
      <c r="B12" t="inlineStr">
        <is>
          <t>Strannik KPE</t>
        </is>
      </c>
      <c r="C12" t="inlineStr">
        <is>
          <t>RUS</t>
        </is>
      </c>
      <c r="D12" s="2">
        <f>Summary!E12</f>
        <v/>
      </c>
      <c r="E12" t="inlineStr">
        <is>
          <t>['17736']</t>
        </is>
      </c>
    </row>
    <row r="13">
      <c r="A13" t="n">
        <v>2117812488</v>
      </c>
      <c r="B13" t="inlineStr">
        <is>
          <t>guinplenn</t>
        </is>
      </c>
      <c r="C13" t="inlineStr">
        <is>
          <t>RUS</t>
        </is>
      </c>
      <c r="D13" s="2">
        <f>Summary!E13</f>
        <v/>
      </c>
      <c r="E13" t="inlineStr">
        <is>
          <t>['17736']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Aliance</t>
        </is>
      </c>
      <c r="C1" s="1" t="inlineStr">
        <is>
          <t>Link Type</t>
        </is>
      </c>
      <c r="D1" s="1" t="inlineStr">
        <is>
          <t>Cost</t>
        </is>
      </c>
      <c r="E1" s="1" t="inlineStr">
        <is>
          <t>ktime</t>
        </is>
      </c>
      <c r="F1" s="1" t="inlineStr">
        <is>
          <t>Link</t>
        </is>
      </c>
    </row>
    <row r="2">
      <c r="A2" t="inlineStr">
        <is>
          <t>Liliana Heretical</t>
        </is>
      </c>
      <c r="B2" t="inlineStr">
        <is>
          <t>-GFC-</t>
        </is>
      </c>
      <c r="C2" t="inlineStr">
        <is>
          <t>valuble_links</t>
        </is>
      </c>
      <c r="D2" t="n">
        <v>-148786400</v>
      </c>
      <c r="E2" t="inlineStr">
        <is>
          <t>2025-05-24T19:00:18Z</t>
        </is>
      </c>
      <c r="F2" t="inlineStr">
        <is>
          <t>https://zkillboard.com/kill/127332094/</t>
        </is>
      </c>
    </row>
    <row r="3">
      <c r="A3" t="inlineStr">
        <is>
          <t>DokTop- X</t>
        </is>
      </c>
      <c r="B3" t="inlineStr">
        <is>
          <t>RED</t>
        </is>
      </c>
      <c r="C3" t="inlineStr">
        <is>
          <t>dps_links</t>
        </is>
      </c>
      <c r="D3" t="n">
        <v>101093561.58</v>
      </c>
      <c r="E3" t="inlineStr">
        <is>
          <t>2025-05-16T03:54:31Z</t>
        </is>
      </c>
      <c r="F3" t="inlineStr">
        <is>
          <t>https://zkillboard.com/kill/127122101/</t>
        </is>
      </c>
    </row>
    <row r="4">
      <c r="A4" t="inlineStr">
        <is>
          <t>DokTop- X</t>
        </is>
      </c>
      <c r="B4" t="inlineStr">
        <is>
          <t>RED</t>
        </is>
      </c>
      <c r="C4" t="inlineStr">
        <is>
          <t>dps_links</t>
        </is>
      </c>
      <c r="D4" t="n">
        <v>141766805.89</v>
      </c>
      <c r="E4" t="inlineStr">
        <is>
          <t>2025-05-16T03:43:21Z</t>
        </is>
      </c>
      <c r="F4" t="inlineStr">
        <is>
          <t>https://zkillboard.com/kill/127121582/</t>
        </is>
      </c>
    </row>
    <row r="5">
      <c r="A5" t="inlineStr">
        <is>
          <t>Pek Vadrya</t>
        </is>
      </c>
      <c r="B5" t="inlineStr">
        <is>
          <t>RED</t>
        </is>
      </c>
      <c r="C5" t="inlineStr">
        <is>
          <t>valuble_links</t>
        </is>
      </c>
      <c r="D5" t="n">
        <v>-148786400</v>
      </c>
      <c r="E5" t="inlineStr">
        <is>
          <t>2025-05-24T19:03:23Z</t>
        </is>
      </c>
      <c r="F5" t="inlineStr">
        <is>
          <t>https://zkillboard.com/kill/127332220/</t>
        </is>
      </c>
    </row>
    <row r="6">
      <c r="A6" t="inlineStr">
        <is>
          <t>Quasari Mio</t>
        </is>
      </c>
      <c r="B6" t="inlineStr">
        <is>
          <t>RED</t>
        </is>
      </c>
      <c r="C6" t="inlineStr">
        <is>
          <t>dps_links</t>
        </is>
      </c>
      <c r="D6" t="n">
        <v>102019271.84</v>
      </c>
      <c r="E6" t="inlineStr">
        <is>
          <t>2025-05-16T03:41:02Z</t>
        </is>
      </c>
      <c r="F6" t="inlineStr">
        <is>
          <t>https://zkillboard.com/kill/127121499/</t>
        </is>
      </c>
    </row>
    <row r="7">
      <c r="A7" t="inlineStr">
        <is>
          <t>Sirena Redana</t>
        </is>
      </c>
      <c r="B7" t="inlineStr">
        <is>
          <t>RED</t>
        </is>
      </c>
      <c r="C7" t="inlineStr">
        <is>
          <t>support_links</t>
        </is>
      </c>
      <c r="D7" t="n">
        <v>15243627.22</v>
      </c>
      <c r="E7" t="inlineStr">
        <is>
          <t>2025-05-03T21:08:27Z</t>
        </is>
      </c>
      <c r="F7" t="inlineStr">
        <is>
          <t>https://zkillboard.com/kill/126798059/</t>
        </is>
      </c>
    </row>
    <row r="8">
      <c r="A8" t="inlineStr">
        <is>
          <t>Sirena Redana</t>
        </is>
      </c>
      <c r="B8" t="inlineStr">
        <is>
          <t>RED</t>
        </is>
      </c>
      <c r="C8" t="inlineStr">
        <is>
          <t>LightShip_links</t>
        </is>
      </c>
      <c r="D8" t="n">
        <v>4194677.67</v>
      </c>
      <c r="E8" t="inlineStr">
        <is>
          <t>2025-05-22T19:38:58Z</t>
        </is>
      </c>
      <c r="F8" t="inlineStr">
        <is>
          <t>https://zkillboard.com/kill/127282427/</t>
        </is>
      </c>
    </row>
    <row r="9">
      <c r="A9" t="inlineStr">
        <is>
          <t>Sirena Redana</t>
        </is>
      </c>
      <c r="B9" t="inlineStr">
        <is>
          <t>RED</t>
        </is>
      </c>
      <c r="C9" t="inlineStr">
        <is>
          <t>LightShip_links</t>
        </is>
      </c>
      <c r="D9" t="n">
        <v>4190699.27</v>
      </c>
      <c r="E9" t="inlineStr">
        <is>
          <t>2025-05-22T18:54:57Z</t>
        </is>
      </c>
      <c r="F9" t="inlineStr">
        <is>
          <t>https://zkillboard.com/kill/127281351/</t>
        </is>
      </c>
    </row>
    <row r="10">
      <c r="A10" t="inlineStr">
        <is>
          <t>Sirena Redana</t>
        </is>
      </c>
      <c r="B10" t="inlineStr">
        <is>
          <t>RED</t>
        </is>
      </c>
      <c r="C10" t="inlineStr">
        <is>
          <t>LightShip_links</t>
        </is>
      </c>
      <c r="D10" t="n">
        <v>4194677.67</v>
      </c>
      <c r="E10" t="inlineStr">
        <is>
          <t>2025-05-22T18:43:06Z</t>
        </is>
      </c>
      <c r="F10" t="inlineStr">
        <is>
          <t>https://zkillboard.com/kill/127281052/</t>
        </is>
      </c>
    </row>
    <row r="11">
      <c r="A11" t="inlineStr">
        <is>
          <t>Sirena Redana</t>
        </is>
      </c>
      <c r="B11" t="inlineStr">
        <is>
          <t>RED</t>
        </is>
      </c>
      <c r="C11" t="inlineStr">
        <is>
          <t>LightShip_links</t>
        </is>
      </c>
      <c r="D11" t="n">
        <v>4155581.600000001</v>
      </c>
      <c r="E11" t="inlineStr">
        <is>
          <t>2025-05-07T19:59:08Z</t>
        </is>
      </c>
      <c r="F11" t="inlineStr">
        <is>
          <t>https://zkillboard.com/kill/126907145/</t>
        </is>
      </c>
    </row>
    <row r="12">
      <c r="A12" t="inlineStr">
        <is>
          <t>Sirena Redana</t>
        </is>
      </c>
      <c r="B12" t="inlineStr">
        <is>
          <t>RED</t>
        </is>
      </c>
      <c r="C12" t="inlineStr">
        <is>
          <t>LightShip_links</t>
        </is>
      </c>
      <c r="D12" t="n">
        <v>4155581.600000001</v>
      </c>
      <c r="E12" t="inlineStr">
        <is>
          <t>2025-05-07T19:55:34Z</t>
        </is>
      </c>
      <c r="F12" t="inlineStr">
        <is>
          <t>https://zkillboard.com/kill/126907081/</t>
        </is>
      </c>
    </row>
    <row r="13">
      <c r="A13" t="inlineStr">
        <is>
          <t>Sirena Redana</t>
        </is>
      </c>
      <c r="B13" t="inlineStr">
        <is>
          <t>RED</t>
        </is>
      </c>
      <c r="C13" t="inlineStr">
        <is>
          <t>LightShip_links</t>
        </is>
      </c>
      <c r="D13" t="n">
        <v>4144897.8</v>
      </c>
      <c r="E13" t="inlineStr">
        <is>
          <t>2025-05-06T18:54:22Z</t>
        </is>
      </c>
      <c r="F13" t="inlineStr">
        <is>
          <t>https://zkillboard.com/kill/126883102/</t>
        </is>
      </c>
    </row>
    <row r="14">
      <c r="A14" t="inlineStr">
        <is>
          <t>Sirena Redana</t>
        </is>
      </c>
      <c r="B14" t="inlineStr">
        <is>
          <t>RED</t>
        </is>
      </c>
      <c r="C14" t="inlineStr">
        <is>
          <t>LightShip_links</t>
        </is>
      </c>
      <c r="D14" t="n">
        <v>2067571.76</v>
      </c>
      <c r="E14" t="inlineStr">
        <is>
          <t>2025-05-06T18:40:00Z</t>
        </is>
      </c>
      <c r="F14" t="inlineStr">
        <is>
          <t>https://zkillboard.com/kill/126882729/</t>
        </is>
      </c>
    </row>
    <row r="15">
      <c r="A15" t="inlineStr">
        <is>
          <t>Sirena Redana</t>
        </is>
      </c>
      <c r="B15" t="inlineStr">
        <is>
          <t>RED</t>
        </is>
      </c>
      <c r="C15" t="inlineStr">
        <is>
          <t>LightShip_links</t>
        </is>
      </c>
      <c r="D15" t="n">
        <v>3134999.19</v>
      </c>
      <c r="E15" t="inlineStr">
        <is>
          <t>2025-05-03T21:35:54Z</t>
        </is>
      </c>
      <c r="F15" t="inlineStr">
        <is>
          <t>https://zkillboard.com/kill/126798927/</t>
        </is>
      </c>
    </row>
    <row r="16">
      <c r="A16" t="inlineStr">
        <is>
          <t>SviatoyAdidasiy</t>
        </is>
      </c>
      <c r="B16" t="inlineStr">
        <is>
          <t>RED</t>
        </is>
      </c>
      <c r="C16" t="inlineStr">
        <is>
          <t>valuble_links</t>
        </is>
      </c>
      <c r="D16" t="n">
        <v>-148786400</v>
      </c>
      <c r="E16" t="inlineStr">
        <is>
          <t>2025-05-24T18:57:01Z</t>
        </is>
      </c>
      <c r="F16" t="inlineStr">
        <is>
          <t>https://zkillboard.com/kill/127331982/</t>
        </is>
      </c>
    </row>
    <row r="17">
      <c r="A17" t="inlineStr">
        <is>
          <t>begi kaknikogda</t>
        </is>
      </c>
      <c r="B17" t="inlineStr">
        <is>
          <t>RED</t>
        </is>
      </c>
      <c r="C17" t="inlineStr">
        <is>
          <t>support_links</t>
        </is>
      </c>
      <c r="D17" t="n">
        <v>61215297.02</v>
      </c>
      <c r="E17" t="inlineStr">
        <is>
          <t>2025-05-08T19:04:11Z</t>
        </is>
      </c>
      <c r="F17" t="inlineStr">
        <is>
          <t>https://zkillboard.com/kill/126931250/</t>
        </is>
      </c>
    </row>
    <row r="18">
      <c r="A18" t="inlineStr">
        <is>
          <t>iSingularis</t>
        </is>
      </c>
      <c r="B18" t="inlineStr">
        <is>
          <t>RED</t>
        </is>
      </c>
      <c r="C18" t="inlineStr">
        <is>
          <t>dps_links</t>
        </is>
      </c>
      <c r="D18" t="n">
        <v>101088423.51</v>
      </c>
      <c r="E18" t="inlineStr">
        <is>
          <t>2025-05-16T03:40:34Z</t>
        </is>
      </c>
      <c r="F18" t="inlineStr">
        <is>
          <t>https://zkillboard.com/kill/127121484/</t>
        </is>
      </c>
    </row>
    <row r="19">
      <c r="A19" t="inlineStr">
        <is>
          <t>panksteris</t>
        </is>
      </c>
      <c r="B19" t="inlineStr">
        <is>
          <t>RED</t>
        </is>
      </c>
      <c r="C19" t="inlineStr">
        <is>
          <t>dps_links</t>
        </is>
      </c>
      <c r="D19" t="n">
        <v>144938299.81</v>
      </c>
      <c r="E19" t="inlineStr">
        <is>
          <t>2025-05-02T21:42:19Z</t>
        </is>
      </c>
      <c r="F19" t="inlineStr">
        <is>
          <t>https://zkillboard.com/kill/126765461/</t>
        </is>
      </c>
    </row>
    <row r="20">
      <c r="A20" t="inlineStr">
        <is>
          <t>MORTL</t>
        </is>
      </c>
      <c r="B20" t="inlineStr">
        <is>
          <t>RUS</t>
        </is>
      </c>
      <c r="C20" t="inlineStr">
        <is>
          <t>valuble_links</t>
        </is>
      </c>
      <c r="D20" t="n">
        <v>-148786400</v>
      </c>
      <c r="E20" t="inlineStr">
        <is>
          <t>2025-05-24T19:03:17Z</t>
        </is>
      </c>
      <c r="F20" t="inlineStr">
        <is>
          <t>https://zkillboard.com/kill/127332215/</t>
        </is>
      </c>
    </row>
    <row r="21">
      <c r="A21" t="inlineStr">
        <is>
          <t>Strannik KPE</t>
        </is>
      </c>
      <c r="B21" t="inlineStr">
        <is>
          <t>RUS</t>
        </is>
      </c>
      <c r="C21" t="inlineStr">
        <is>
          <t>valuble_links</t>
        </is>
      </c>
      <c r="D21" t="n">
        <v>-148786400</v>
      </c>
      <c r="E21" t="inlineStr">
        <is>
          <t>2025-05-24T19:00:59Z</t>
        </is>
      </c>
      <c r="F21" t="inlineStr">
        <is>
          <t>https://zkillboard.com/kill/127332117/</t>
        </is>
      </c>
    </row>
    <row r="22">
      <c r="A22" t="inlineStr">
        <is>
          <t>guinplenn</t>
        </is>
      </c>
      <c r="B22" t="inlineStr">
        <is>
          <t>RUS</t>
        </is>
      </c>
      <c r="C22" t="inlineStr">
        <is>
          <t>valuble_links</t>
        </is>
      </c>
      <c r="D22" t="n">
        <v>-148786400</v>
      </c>
      <c r="E22" t="inlineStr">
        <is>
          <t>2025-05-24T18:59:55Z</t>
        </is>
      </c>
      <c r="F22" t="inlineStr">
        <is>
          <t>https://zkillboard.com/kill/127332082/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Aliance</t>
        </is>
      </c>
      <c r="C1" s="1" t="inlineStr">
        <is>
          <t>Formation ships sum</t>
        </is>
      </c>
      <c r="D1" s="1" t="inlineStr">
        <is>
          <t>Small ships sum</t>
        </is>
      </c>
      <c r="E1" s="1" t="inlineStr">
        <is>
          <t>Total sum</t>
        </is>
      </c>
    </row>
    <row r="2">
      <c r="A2" t="inlineStr">
        <is>
          <t>Liliana Heretical</t>
        </is>
      </c>
      <c r="B2" t="inlineStr">
        <is>
          <t>-GFC-</t>
        </is>
      </c>
      <c r="C2" s="2">
        <f>SUMIFS('Links for check'!D:D, 'Links for check'!A:A, A2, 'Links for check'!C:C, "&lt;&gt;LightShip_links") </f>
        <v/>
      </c>
      <c r="D2" s="2">
        <f>SUMIFS('Links for check'!D:D, 'Links for check'!A:A, A2, 'Links for check'!C:C, "LightShip_links") </f>
        <v/>
      </c>
      <c r="E2" s="2">
        <f>C2+D2</f>
        <v/>
      </c>
    </row>
    <row r="3">
      <c r="A3" t="inlineStr">
        <is>
          <t>DokTop- X</t>
        </is>
      </c>
      <c r="B3" t="inlineStr">
        <is>
          <t>RED</t>
        </is>
      </c>
      <c r="C3" s="2">
        <f>SUMIFS('Links for check'!D:D, 'Links for check'!A:A, A3, 'Links for check'!C:C, "&lt;&gt;LightShip_links") </f>
        <v/>
      </c>
      <c r="D3" s="2">
        <f>SUMIFS('Links for check'!D:D, 'Links for check'!A:A, A3, 'Links for check'!C:C, "LightShip_links") </f>
        <v/>
      </c>
      <c r="E3" s="2">
        <f>C3+D3</f>
        <v/>
      </c>
    </row>
    <row r="4">
      <c r="A4" t="inlineStr">
        <is>
          <t>Pek Vadrya</t>
        </is>
      </c>
      <c r="B4" t="inlineStr">
        <is>
          <t>RED</t>
        </is>
      </c>
      <c r="C4" s="2">
        <f>SUMIFS('Links for check'!D:D, 'Links for check'!A:A, A4, 'Links for check'!C:C, "&lt;&gt;LightShip_links") </f>
        <v/>
      </c>
      <c r="D4" s="2">
        <f>SUMIFS('Links for check'!D:D, 'Links for check'!A:A, A4, 'Links for check'!C:C, "LightShip_links") </f>
        <v/>
      </c>
      <c r="E4" s="2">
        <f>C4+D4</f>
        <v/>
      </c>
    </row>
    <row r="5">
      <c r="A5" t="inlineStr">
        <is>
          <t>Quasari Mio</t>
        </is>
      </c>
      <c r="B5" t="inlineStr">
        <is>
          <t>RED</t>
        </is>
      </c>
      <c r="C5" s="2">
        <f>SUMIFS('Links for check'!D:D, 'Links for check'!A:A, A5, 'Links for check'!C:C, "&lt;&gt;LightShip_links") </f>
        <v/>
      </c>
      <c r="D5" s="2">
        <f>SUMIFS('Links for check'!D:D, 'Links for check'!A:A, A5, 'Links for check'!C:C, "LightShip_links") </f>
        <v/>
      </c>
      <c r="E5" s="2">
        <f>C5+D5</f>
        <v/>
      </c>
    </row>
    <row r="6">
      <c r="A6" t="inlineStr">
        <is>
          <t>Sirena Redana</t>
        </is>
      </c>
      <c r="B6" t="inlineStr">
        <is>
          <t>RED</t>
        </is>
      </c>
      <c r="C6" s="2">
        <f>SUMIFS('Links for check'!D:D, 'Links for check'!A:A, A6, 'Links for check'!C:C, "&lt;&gt;LightShip_links") </f>
        <v/>
      </c>
      <c r="D6" s="2">
        <f>SUMIFS('Links for check'!D:D, 'Links for check'!A:A, A6, 'Links for check'!C:C, "LightShip_links") </f>
        <v/>
      </c>
      <c r="E6" s="2">
        <f>C6+D6</f>
        <v/>
      </c>
    </row>
    <row r="7">
      <c r="A7" t="inlineStr">
        <is>
          <t>SviatoyAdidasiy</t>
        </is>
      </c>
      <c r="B7" t="inlineStr">
        <is>
          <t>RED</t>
        </is>
      </c>
      <c r="C7" s="2">
        <f>SUMIFS('Links for check'!D:D, 'Links for check'!A:A, A7, 'Links for check'!C:C, "&lt;&gt;LightShip_links") </f>
        <v/>
      </c>
      <c r="D7" s="2">
        <f>SUMIFS('Links for check'!D:D, 'Links for check'!A:A, A7, 'Links for check'!C:C, "LightShip_links") </f>
        <v/>
      </c>
      <c r="E7" s="2">
        <f>C7+D7</f>
        <v/>
      </c>
    </row>
    <row r="8">
      <c r="A8" t="inlineStr">
        <is>
          <t>begi kaknikogda</t>
        </is>
      </c>
      <c r="B8" t="inlineStr">
        <is>
          <t>RED</t>
        </is>
      </c>
      <c r="C8" s="2">
        <f>SUMIFS('Links for check'!D:D, 'Links for check'!A:A, A8, 'Links for check'!C:C, "&lt;&gt;LightShip_links") </f>
        <v/>
      </c>
      <c r="D8" s="2">
        <f>SUMIFS('Links for check'!D:D, 'Links for check'!A:A, A8, 'Links for check'!C:C, "LightShip_links") </f>
        <v/>
      </c>
      <c r="E8" s="2">
        <f>C8+D8</f>
        <v/>
      </c>
    </row>
    <row r="9">
      <c r="A9" t="inlineStr">
        <is>
          <t>iSingularis</t>
        </is>
      </c>
      <c r="B9" t="inlineStr">
        <is>
          <t>RED</t>
        </is>
      </c>
      <c r="C9" s="2">
        <f>SUMIFS('Links for check'!D:D, 'Links for check'!A:A, A9, 'Links for check'!C:C, "&lt;&gt;LightShip_links") </f>
        <v/>
      </c>
      <c r="D9" s="2">
        <f>SUMIFS('Links for check'!D:D, 'Links for check'!A:A, A9, 'Links for check'!C:C, "LightShip_links") </f>
        <v/>
      </c>
      <c r="E9" s="2">
        <f>C9+D9</f>
        <v/>
      </c>
    </row>
    <row r="10">
      <c r="A10" t="inlineStr">
        <is>
          <t>panksteris</t>
        </is>
      </c>
      <c r="B10" t="inlineStr">
        <is>
          <t>RED</t>
        </is>
      </c>
      <c r="C10" s="2">
        <f>SUMIFS('Links for check'!D:D, 'Links for check'!A:A, A10, 'Links for check'!C:C, "&lt;&gt;LightShip_links") </f>
        <v/>
      </c>
      <c r="D10" s="2">
        <f>SUMIFS('Links for check'!D:D, 'Links for check'!A:A, A10, 'Links for check'!C:C, "LightShip_links") </f>
        <v/>
      </c>
      <c r="E10" s="2">
        <f>C10+D10</f>
        <v/>
      </c>
    </row>
    <row r="11">
      <c r="A11" t="inlineStr">
        <is>
          <t>MORTL</t>
        </is>
      </c>
      <c r="B11" t="inlineStr">
        <is>
          <t>RUS</t>
        </is>
      </c>
      <c r="C11" s="2">
        <f>SUMIFS('Links for check'!D:D, 'Links for check'!A:A, A11, 'Links for check'!C:C, "&lt;&gt;LightShip_links") </f>
        <v/>
      </c>
      <c r="D11" s="2">
        <f>SUMIFS('Links for check'!D:D, 'Links for check'!A:A, A11, 'Links for check'!C:C, "LightShip_links") </f>
        <v/>
      </c>
      <c r="E11" s="2">
        <f>C11+D11</f>
        <v/>
      </c>
    </row>
    <row r="12">
      <c r="A12" t="inlineStr">
        <is>
          <t>Strannik KPE</t>
        </is>
      </c>
      <c r="B12" t="inlineStr">
        <is>
          <t>RUS</t>
        </is>
      </c>
      <c r="C12" s="2">
        <f>SUMIFS('Links for check'!D:D, 'Links for check'!A:A, A12, 'Links for check'!C:C, "&lt;&gt;LightShip_links") </f>
        <v/>
      </c>
      <c r="D12" s="2">
        <f>SUMIFS('Links for check'!D:D, 'Links for check'!A:A, A12, 'Links for check'!C:C, "LightShip_links") </f>
        <v/>
      </c>
      <c r="E12" s="2">
        <f>C12+D12</f>
        <v/>
      </c>
    </row>
    <row r="13">
      <c r="A13" t="inlineStr">
        <is>
          <t>guinplenn</t>
        </is>
      </c>
      <c r="B13" t="inlineStr">
        <is>
          <t>RUS</t>
        </is>
      </c>
      <c r="C13" s="2">
        <f>SUMIFS('Links for check'!D:D, 'Links for check'!A:A, A13, 'Links for check'!C:C, "&lt;&gt;LightShip_links") </f>
        <v/>
      </c>
      <c r="D13" s="2">
        <f>SUMIFS('Links for check'!D:D, 'Links for check'!A:A, A13, 'Links for check'!C:C, "LightShip_links") </f>
        <v/>
      </c>
      <c r="E13" s="2">
        <f>C13+D13</f>
        <v/>
      </c>
    </row>
    <row r="14">
      <c r="B14" s="3" t="inlineStr">
        <is>
          <t>TOTAL</t>
        </is>
      </c>
      <c r="C14" s="3">
        <f>SUM(C2:C13)</f>
        <v/>
      </c>
      <c r="D14" s="3">
        <f>SUM(D2:D13)</f>
        <v/>
      </c>
      <c r="E14" s="3">
        <f>SUM(E2:E13)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2025-06-07T18:53:50Z</dcterms:created>
  <dcterms:modified xsi:type="dcterms:W3CDTF">2025-06-07T18:53:50Z</dcterms:modified>
</cp:coreProperties>
</file>
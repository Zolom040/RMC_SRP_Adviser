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Repositorium\RMC_SRP_Adviser\RMC_SRP_Adviser\"/>
    </mc:Choice>
  </mc:AlternateContent>
  <xr:revisionPtr revIDLastSave="0" documentId="13_ncr:1_{D978F46E-C51F-4338-AF36-DCEB03D693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1" r:id="rId1"/>
    <sheet name="Links for check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3" l="1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E7" i="3" l="1"/>
  <c r="D7" i="1" s="1"/>
  <c r="E5" i="3"/>
  <c r="D5" i="1" s="1"/>
  <c r="E27" i="3"/>
  <c r="D27" i="1" s="1"/>
  <c r="E22" i="3"/>
  <c r="D22" i="1" s="1"/>
  <c r="E8" i="3"/>
  <c r="D8" i="1" s="1"/>
  <c r="E32" i="3"/>
  <c r="D32" i="1" s="1"/>
  <c r="E26" i="3"/>
  <c r="D26" i="1" s="1"/>
  <c r="E36" i="3"/>
  <c r="D36" i="1" s="1"/>
  <c r="E15" i="3"/>
  <c r="D15" i="1" s="1"/>
  <c r="E23" i="3"/>
  <c r="D23" i="1" s="1"/>
  <c r="E16" i="3"/>
  <c r="D16" i="1" s="1"/>
  <c r="E30" i="3"/>
  <c r="D30" i="1" s="1"/>
  <c r="E17" i="3"/>
  <c r="D17" i="1" s="1"/>
  <c r="E35" i="3"/>
  <c r="D35" i="1" s="1"/>
  <c r="E21" i="3"/>
  <c r="D21" i="1" s="1"/>
  <c r="E4" i="3"/>
  <c r="D4" i="1" s="1"/>
  <c r="E24" i="3"/>
  <c r="D24" i="1" s="1"/>
  <c r="E9" i="3"/>
  <c r="D9" i="1" s="1"/>
  <c r="D38" i="3"/>
  <c r="E25" i="3"/>
  <c r="D25" i="1" s="1"/>
  <c r="E33" i="3"/>
  <c r="D33" i="1" s="1"/>
  <c r="E3" i="3"/>
  <c r="D3" i="1" s="1"/>
  <c r="E34" i="3"/>
  <c r="D34" i="1" s="1"/>
  <c r="E11" i="3"/>
  <c r="D11" i="1" s="1"/>
  <c r="E37" i="3"/>
  <c r="D37" i="1" s="1"/>
  <c r="C38" i="3"/>
  <c r="E31" i="3"/>
  <c r="D31" i="1" s="1"/>
  <c r="E10" i="3"/>
  <c r="D10" i="1" s="1"/>
  <c r="E18" i="3"/>
  <c r="D18" i="1" s="1"/>
  <c r="E19" i="3"/>
  <c r="D19" i="1" s="1"/>
  <c r="E12" i="3"/>
  <c r="D12" i="1" s="1"/>
  <c r="E20" i="3"/>
  <c r="D20" i="1" s="1"/>
  <c r="E6" i="3"/>
  <c r="D6" i="1" s="1"/>
  <c r="E13" i="3"/>
  <c r="D13" i="1" s="1"/>
  <c r="E28" i="3"/>
  <c r="D28" i="1" s="1"/>
  <c r="E14" i="3"/>
  <c r="D14" i="1" s="1"/>
  <c r="E29" i="3"/>
  <c r="D29" i="1" s="1"/>
  <c r="E2" i="3"/>
  <c r="E38" i="3" l="1"/>
  <c r="D2" i="1"/>
</calcChain>
</file>

<file path=xl/sharedStrings.xml><?xml version="1.0" encoding="utf-8"?>
<sst xmlns="http://schemas.openxmlformats.org/spreadsheetml/2006/main" count="539" uniqueCount="200">
  <si>
    <t>ID</t>
  </si>
  <si>
    <t>Name</t>
  </si>
  <si>
    <t>Aliance</t>
  </si>
  <si>
    <t>total_cost</t>
  </si>
  <si>
    <t>natur_compens_ids</t>
  </si>
  <si>
    <t>Big All</t>
  </si>
  <si>
    <t>-GFC-</t>
  </si>
  <si>
    <t>[]</t>
  </si>
  <si>
    <t>Veles Diosivich</t>
  </si>
  <si>
    <t>Gizikk</t>
  </si>
  <si>
    <t>2LATE</t>
  </si>
  <si>
    <t>Solty Moby</t>
  </si>
  <si>
    <t>Airin Distracted</t>
  </si>
  <si>
    <t>RED</t>
  </si>
  <si>
    <t>Artemiss Fowll</t>
  </si>
  <si>
    <t>Berfert</t>
  </si>
  <si>
    <t>BongoCat Spanking</t>
  </si>
  <si>
    <t>CineLog</t>
  </si>
  <si>
    <t>DokTop- X</t>
  </si>
  <si>
    <t>FX-8320E</t>
  </si>
  <si>
    <t>Helm Makenen</t>
  </si>
  <si>
    <t>['17736']</t>
  </si>
  <si>
    <t>Infiltrator</t>
  </si>
  <si>
    <t>Jeroin Akselson</t>
  </si>
  <si>
    <t>Ktoto101</t>
  </si>
  <si>
    <t>Lalka Caller</t>
  </si>
  <si>
    <t>Lucian Stormglaive</t>
  </si>
  <si>
    <t>MadMaxDon</t>
  </si>
  <si>
    <t>N1K04KA</t>
  </si>
  <si>
    <t>Pek Vadrya</t>
  </si>
  <si>
    <t>Perfectos</t>
  </si>
  <si>
    <t>Quasari Mio</t>
  </si>
  <si>
    <t>Saya Kanzaki</t>
  </si>
  <si>
    <t>SemenB</t>
  </si>
  <si>
    <t>SviatoyAdidasiy</t>
  </si>
  <si>
    <t>VIKI KPblMCKAYA</t>
  </si>
  <si>
    <t>alex chus</t>
  </si>
  <si>
    <t>gkpoxa</t>
  </si>
  <si>
    <t>panksteris</t>
  </si>
  <si>
    <t>Alexey Dankor</t>
  </si>
  <si>
    <t>RUS</t>
  </si>
  <si>
    <t>Idite Lesom</t>
  </si>
  <si>
    <t>Julian Wernnan</t>
  </si>
  <si>
    <t>Sladkiy Dwarf</t>
  </si>
  <si>
    <t>andysam Miromme</t>
  </si>
  <si>
    <t>az250</t>
  </si>
  <si>
    <t>guinplenn</t>
  </si>
  <si>
    <t>Link Type</t>
  </si>
  <si>
    <t>Cost</t>
  </si>
  <si>
    <t>ktime</t>
  </si>
  <si>
    <t>Link</t>
  </si>
  <si>
    <t>tackle_links</t>
  </si>
  <si>
    <t>2025-06-10T17:42:24+00:00</t>
  </si>
  <si>
    <t>https://zkillboard.com/kill/127792227/</t>
  </si>
  <si>
    <t>dps_links</t>
  </si>
  <si>
    <t>2025-06-23T19:03:31+00:00</t>
  </si>
  <si>
    <t>https://zkillboard.com/kill/128093604/</t>
  </si>
  <si>
    <t>2025-06-23T18:13:59+00:00</t>
  </si>
  <si>
    <t>https://zkillboard.com/kill/128092502/</t>
  </si>
  <si>
    <t>support_links</t>
  </si>
  <si>
    <t>2025-06-24T17:19:33+00:00</t>
  </si>
  <si>
    <t>https://zkillboard.com/kill/128112033/</t>
  </si>
  <si>
    <t>2025-06-23T19:05:15+00:00</t>
  </si>
  <si>
    <t>https://zkillboard.com/kill/128093651/</t>
  </si>
  <si>
    <t>LightShip_links</t>
  </si>
  <si>
    <t>2025-06-03T20:14:12+00:00</t>
  </si>
  <si>
    <t>https://zkillboard.com/kill/127612162/</t>
  </si>
  <si>
    <t>2025-06-20T19:12:30+00:00</t>
  </si>
  <si>
    <t>https://zkillboard.com/kill/128015216/</t>
  </si>
  <si>
    <t>2025-06-20T19:08:34+00:00</t>
  </si>
  <si>
    <t>https://zkillboard.com/kill/128015128/</t>
  </si>
  <si>
    <t>valuble_links</t>
  </si>
  <si>
    <t>2025-06-25T20:54:27+00:00</t>
  </si>
  <si>
    <t>https://zkillboard.com/kill/128137661/</t>
  </si>
  <si>
    <t>2025-06-20T19:13:28+00:00</t>
  </si>
  <si>
    <t>https://zkillboard.com/kill/128015243/</t>
  </si>
  <si>
    <t>2025-06-23T18:18:01+00:00</t>
  </si>
  <si>
    <t>https://zkillboard.com/kill/128092606/</t>
  </si>
  <si>
    <t>2025-06-23T18:59:38+00:00</t>
  </si>
  <si>
    <t>https://zkillboard.com/kill/128093490/</t>
  </si>
  <si>
    <t>2025-06-23T19:04:02+00:00</t>
  </si>
  <si>
    <t>https://zkillboard.com/kill/128093615/</t>
  </si>
  <si>
    <t>2025-06-25T20:42:37+00:00</t>
  </si>
  <si>
    <t>https://zkillboard.com/kill/128137367/</t>
  </si>
  <si>
    <t>2025-06-23T19:01:48+00:00</t>
  </si>
  <si>
    <t>https://zkillboard.com/kill/128093539/</t>
  </si>
  <si>
    <t>2025-06-23T19:00:56+00:00</t>
  </si>
  <si>
    <t>https://zkillboard.com/kill/128093514/</t>
  </si>
  <si>
    <t>2025-06-23T17:39:37+00:00</t>
  </si>
  <si>
    <t>https://zkillboard.com/kill/128091767/</t>
  </si>
  <si>
    <t>2025-06-15T04:32:12+00:00</t>
  </si>
  <si>
    <t>https://zkillboard.com/kill/127891450/</t>
  </si>
  <si>
    <t>2025-06-24T17:17:43+00:00</t>
  </si>
  <si>
    <t>https://zkillboard.com/kill/128111996/</t>
  </si>
  <si>
    <t>2025-06-20T19:13:01+00:00</t>
  </si>
  <si>
    <t>https://zkillboard.com/kill/128015233/</t>
  </si>
  <si>
    <t>2025-06-25T20:50:27+00:00</t>
  </si>
  <si>
    <t>https://zkillboard.com/kill/128137568/</t>
  </si>
  <si>
    <t>2025-06-23T19:05:36+00:00</t>
  </si>
  <si>
    <t>https://zkillboard.com/kill/128093669/</t>
  </si>
  <si>
    <t>2025-06-19T21:02:45+00:00</t>
  </si>
  <si>
    <t>https://zkillboard.com/kill/127995538/</t>
  </si>
  <si>
    <t>2025-06-17T20:47:46+00:00</t>
  </si>
  <si>
    <t>https://zkillboard.com/kill/127953070/</t>
  </si>
  <si>
    <t>2025-06-23T19:01:51+00:00</t>
  </si>
  <si>
    <t>https://zkillboard.com/kill/128093543/</t>
  </si>
  <si>
    <t>2025-06-19T21:00:07+00:00</t>
  </si>
  <si>
    <t>https://zkillboard.com/kill/127995457/</t>
  </si>
  <si>
    <t>2025-06-25T20:50:13+00:00</t>
  </si>
  <si>
    <t>https://zkillboard.com/kill/128137561/</t>
  </si>
  <si>
    <t>2025-06-23T18:24:43+00:00</t>
  </si>
  <si>
    <t>https://zkillboard.com/kill/128092742/</t>
  </si>
  <si>
    <t>2025-06-23T18:18:45+00:00</t>
  </si>
  <si>
    <t>https://zkillboard.com/kill/128092626/</t>
  </si>
  <si>
    <t>2025-06-17T20:26:11+00:00</t>
  </si>
  <si>
    <t>https://zkillboard.com/kill/127952540/</t>
  </si>
  <si>
    <t>2025-06-23T19:05:54+00:00</t>
  </si>
  <si>
    <t>https://zkillboard.com/kill/128093674/</t>
  </si>
  <si>
    <t>2025-06-23T19:00:32+00:00</t>
  </si>
  <si>
    <t>https://zkillboard.com/kill/128093509/</t>
  </si>
  <si>
    <t>2025-06-25T20:50:44+00:00</t>
  </si>
  <si>
    <t>https://zkillboard.com/kill/128137580/</t>
  </si>
  <si>
    <t>2025-06-23T17:51:24+00:00</t>
  </si>
  <si>
    <t>https://zkillboard.com/kill/128092021/</t>
  </si>
  <si>
    <t>2025-06-23T19:04:24+00:00</t>
  </si>
  <si>
    <t>https://zkillboard.com/kill/128093630/</t>
  </si>
  <si>
    <t>2025-06-23T19:02:24+00:00</t>
  </si>
  <si>
    <t>https://zkillboard.com/kill/128093567/</t>
  </si>
  <si>
    <t>2025-06-23T18:46:26+00:00</t>
  </si>
  <si>
    <t>https://zkillboard.com/kill/128093168/</t>
  </si>
  <si>
    <t>2025-06-23T18:13:17+00:00</t>
  </si>
  <si>
    <t>https://zkillboard.com/kill/128092482/</t>
  </si>
  <si>
    <t>2025-06-20T19:13:00+00:00</t>
  </si>
  <si>
    <t>https://zkillboard.com/kill/128015232/</t>
  </si>
  <si>
    <t>2025-06-19T20:58:44+00:00</t>
  </si>
  <si>
    <t>https://zkillboard.com/kill/127995410/</t>
  </si>
  <si>
    <t>2025-06-03T20:13:29+00:00</t>
  </si>
  <si>
    <t>https://zkillboard.com/kill/127612142/</t>
  </si>
  <si>
    <t>2025-06-25T20:49:51+00:00</t>
  </si>
  <si>
    <t>https://zkillboard.com/kill/128137549/</t>
  </si>
  <si>
    <t>2025-06-25T20:47:27+00:00</t>
  </si>
  <si>
    <t>https://zkillboard.com/kill/128137484/</t>
  </si>
  <si>
    <t>2025-06-23T18:24:46+00:00</t>
  </si>
  <si>
    <t>https://zkillboard.com/kill/128092744/</t>
  </si>
  <si>
    <t>2025-06-23T18:00:47+00:00</t>
  </si>
  <si>
    <t>https://zkillboard.com/kill/128092189/</t>
  </si>
  <si>
    <t>2025-06-25T20:45:16+00:00</t>
  </si>
  <si>
    <t>https://zkillboard.com/kill/128137434/</t>
  </si>
  <si>
    <t>2025-06-19T20:55:34+00:00</t>
  </si>
  <si>
    <t>https://zkillboard.com/kill/127995320/</t>
  </si>
  <si>
    <t>2025-06-24T17:16:03+00:00</t>
  </si>
  <si>
    <t>https://zkillboard.com/kill/128111970/</t>
  </si>
  <si>
    <t>2025-06-20T19:12:22+00:00</t>
  </si>
  <si>
    <t>https://zkillboard.com/kill/128015212/</t>
  </si>
  <si>
    <t>2025-06-19T20:58:13+00:00</t>
  </si>
  <si>
    <t>https://zkillboard.com/kill/127995395/</t>
  </si>
  <si>
    <t>2025-06-25T20:42:09+00:00</t>
  </si>
  <si>
    <t>https://zkillboard.com/kill/128137351/</t>
  </si>
  <si>
    <t>2025-06-23T18:59:40+00:00</t>
  </si>
  <si>
    <t>https://zkillboard.com/kill/128093492/</t>
  </si>
  <si>
    <t>2025-06-23T18:43:10+00:00</t>
  </si>
  <si>
    <t>https://zkillboard.com/kill/128093081/</t>
  </si>
  <si>
    <t>2025-06-23T18:13:46+00:00</t>
  </si>
  <si>
    <t>https://zkillboard.com/kill/128092497/</t>
  </si>
  <si>
    <t>2025-06-23T17:46:02+00:00</t>
  </si>
  <si>
    <t>https://zkillboard.com/kill/128091902/</t>
  </si>
  <si>
    <t>2025-06-20T19:13:06+00:00</t>
  </si>
  <si>
    <t>https://zkillboard.com/kill/128015236/</t>
  </si>
  <si>
    <t>2025-06-20T19:13:51+00:00</t>
  </si>
  <si>
    <t>https://zkillboard.com/kill/128015259/</t>
  </si>
  <si>
    <t>2025-06-19T20:54:18+00:00</t>
  </si>
  <si>
    <t>https://zkillboard.com/kill/127995286/</t>
  </si>
  <si>
    <t>2025-06-24T17:16:37+00:00</t>
  </si>
  <si>
    <t>https://zkillboard.com/kill/128111979/</t>
  </si>
  <si>
    <t>2025-06-23T18:58:17+00:00</t>
  </si>
  <si>
    <t>https://zkillboard.com/kill/128093451/</t>
  </si>
  <si>
    <t>2025-06-23T18:21:11+00:00</t>
  </si>
  <si>
    <t>https://zkillboard.com/kill/128092661/</t>
  </si>
  <si>
    <t>2025-06-23T18:13:07+00:00</t>
  </si>
  <si>
    <t>https://zkillboard.com/kill/128092475/</t>
  </si>
  <si>
    <t>2025-06-23T17:51:06+00:00</t>
  </si>
  <si>
    <t>https://zkillboard.com/kill/128092016/</t>
  </si>
  <si>
    <t>2025-06-19T20:55:02+00:00</t>
  </si>
  <si>
    <t>https://zkillboard.com/kill/127995305/</t>
  </si>
  <si>
    <t>2025-06-23T19:02:54+00:00</t>
  </si>
  <si>
    <t>https://zkillboard.com/kill/128093585/</t>
  </si>
  <si>
    <t>2025-06-20T19:12:39+00:00</t>
  </si>
  <si>
    <t>https://zkillboard.com/kill/128015220/</t>
  </si>
  <si>
    <t>2025-06-24T17:20:06+00:00</t>
  </si>
  <si>
    <t>https://zkillboard.com/kill/128112044/</t>
  </si>
  <si>
    <t>2025-06-20T19:06:40+00:00</t>
  </si>
  <si>
    <t>https://zkillboard.com/kill/128015070/</t>
  </si>
  <si>
    <t>2025-06-19T21:03:35+00:00</t>
  </si>
  <si>
    <t>https://zkillboard.com/kill/127995553/</t>
  </si>
  <si>
    <t>2025-06-25T20:50:06+00:00</t>
  </si>
  <si>
    <t>https://zkillboard.com/kill/128137559/</t>
  </si>
  <si>
    <t>Formation ships sum</t>
  </si>
  <si>
    <t>Small ships sum</t>
  </si>
  <si>
    <t>Total sum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</si>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</sst>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1" fillId="0" borderId="0" xfId="0" applyFont="1"/>
    <xf numFmtId="0" fontId="2" fillId="0" borderId="0" xfId="1"/>
    <xf numFmtId="4" fontId="1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zkillboard.com/kill/128015236/" TargetMode="External"/><Relationship Id="rId13" Type="http://schemas.openxmlformats.org/officeDocument/2006/relationships/hyperlink" Target="https://zkillboard.com/kill/128093451/" TargetMode="External"/><Relationship Id="rId18" Type="http://schemas.openxmlformats.org/officeDocument/2006/relationships/hyperlink" Target="https://zkillboard.com/kill/128093585/" TargetMode="External"/><Relationship Id="rId26" Type="http://schemas.openxmlformats.org/officeDocument/2006/relationships/hyperlink" Target="https://zkillboard.com/kill/128112033/" TargetMode="External"/><Relationship Id="rId3" Type="http://schemas.openxmlformats.org/officeDocument/2006/relationships/hyperlink" Target="https://zkillboard.com/kill/128093674/" TargetMode="External"/><Relationship Id="rId21" Type="http://schemas.openxmlformats.org/officeDocument/2006/relationships/hyperlink" Target="https://zkillboard.com/kill/128015070/" TargetMode="External"/><Relationship Id="rId7" Type="http://schemas.openxmlformats.org/officeDocument/2006/relationships/hyperlink" Target="https://zkillboard.com/kill/128092497/" TargetMode="External"/><Relationship Id="rId12" Type="http://schemas.openxmlformats.org/officeDocument/2006/relationships/hyperlink" Target="https://zkillboard.com/kill/128111979/" TargetMode="External"/><Relationship Id="rId17" Type="http://schemas.openxmlformats.org/officeDocument/2006/relationships/hyperlink" Target="https://zkillboard.com/kill/127995305/" TargetMode="External"/><Relationship Id="rId25" Type="http://schemas.openxmlformats.org/officeDocument/2006/relationships/hyperlink" Target="https://zkillboard.com/kill/128093604/" TargetMode="External"/><Relationship Id="rId2" Type="http://schemas.openxmlformats.org/officeDocument/2006/relationships/hyperlink" Target="https://zkillboard.com/kill/128137661/" TargetMode="External"/><Relationship Id="rId16" Type="http://schemas.openxmlformats.org/officeDocument/2006/relationships/hyperlink" Target="https://zkillboard.com/kill/128092016/" TargetMode="External"/><Relationship Id="rId20" Type="http://schemas.openxmlformats.org/officeDocument/2006/relationships/hyperlink" Target="https://zkillboard.com/kill/128112044/" TargetMode="External"/><Relationship Id="rId29" Type="http://schemas.openxmlformats.org/officeDocument/2006/relationships/hyperlink" Target="https://zkillboard.com/kill/127612162/" TargetMode="External"/><Relationship Id="rId1" Type="http://schemas.openxmlformats.org/officeDocument/2006/relationships/hyperlink" Target="https://zkillboard.com/kill/127891450/" TargetMode="External"/><Relationship Id="rId6" Type="http://schemas.openxmlformats.org/officeDocument/2006/relationships/hyperlink" Target="https://zkillboard.com/kill/128093081/" TargetMode="External"/><Relationship Id="rId11" Type="http://schemas.openxmlformats.org/officeDocument/2006/relationships/hyperlink" Target="https://zkillboard.com/kill/127995286/" TargetMode="External"/><Relationship Id="rId24" Type="http://schemas.openxmlformats.org/officeDocument/2006/relationships/hyperlink" Target="https://zkillboard.com/kill/127792227/" TargetMode="External"/><Relationship Id="rId32" Type="http://schemas.openxmlformats.org/officeDocument/2006/relationships/hyperlink" Target="https://zkillboard.com/kill/127953070/" TargetMode="External"/><Relationship Id="rId5" Type="http://schemas.openxmlformats.org/officeDocument/2006/relationships/hyperlink" Target="https://zkillboard.com/kill/128093492/" TargetMode="External"/><Relationship Id="rId15" Type="http://schemas.openxmlformats.org/officeDocument/2006/relationships/hyperlink" Target="https://zkillboard.com/kill/128092475/" TargetMode="External"/><Relationship Id="rId23" Type="http://schemas.openxmlformats.org/officeDocument/2006/relationships/hyperlink" Target="https://zkillboard.com/kill/127995553/" TargetMode="External"/><Relationship Id="rId28" Type="http://schemas.openxmlformats.org/officeDocument/2006/relationships/hyperlink" Target="https://zkillboard.com/kill/128093651/" TargetMode="External"/><Relationship Id="rId10" Type="http://schemas.openxmlformats.org/officeDocument/2006/relationships/hyperlink" Target="https://zkillboard.com/kill/128015259/" TargetMode="External"/><Relationship Id="rId19" Type="http://schemas.openxmlformats.org/officeDocument/2006/relationships/hyperlink" Target="https://zkillboard.com/kill/128015220/" TargetMode="External"/><Relationship Id="rId31" Type="http://schemas.openxmlformats.org/officeDocument/2006/relationships/hyperlink" Target="https://zkillboard.com/kill/128015128/" TargetMode="External"/><Relationship Id="rId4" Type="http://schemas.openxmlformats.org/officeDocument/2006/relationships/hyperlink" Target="https://zkillboard.com/kill/127995410/" TargetMode="External"/><Relationship Id="rId9" Type="http://schemas.openxmlformats.org/officeDocument/2006/relationships/hyperlink" Target="https://zkillboard.com/kill/128091902/" TargetMode="External"/><Relationship Id="rId14" Type="http://schemas.openxmlformats.org/officeDocument/2006/relationships/hyperlink" Target="https://zkillboard.com/kill/128092661/" TargetMode="External"/><Relationship Id="rId22" Type="http://schemas.openxmlformats.org/officeDocument/2006/relationships/hyperlink" Target="https://zkillboard.com/kill/128137559/" TargetMode="External"/><Relationship Id="rId27" Type="http://schemas.openxmlformats.org/officeDocument/2006/relationships/hyperlink" Target="https://zkillboard.com/kill/128092502/" TargetMode="External"/><Relationship Id="rId30" Type="http://schemas.openxmlformats.org/officeDocument/2006/relationships/hyperlink" Target="https://zkillboard.com/kill/128015216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E13" sqref="E13"/>
    </sheetView>
  </sheetViews>
  <sheetFormatPr defaultRowHeight="15" x14ac:dyDescent="0.25"/>
  <cols>
    <col min="2" max="2" width="1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2114715836</v>
      </c>
      <c r="B2" t="s">
        <v>5</v>
      </c>
      <c r="C2" t="s">
        <v>6</v>
      </c>
      <c r="D2" s="2">
        <f>Summary!E2</f>
        <v>0</v>
      </c>
      <c r="E2" t="s">
        <v>7</v>
      </c>
    </row>
    <row r="3" spans="1:5" x14ac:dyDescent="0.25">
      <c r="A3">
        <v>2121404991</v>
      </c>
      <c r="B3" t="s">
        <v>8</v>
      </c>
      <c r="C3" t="s">
        <v>6</v>
      </c>
      <c r="D3" s="2">
        <f>Summary!E3</f>
        <v>277240582.88999999</v>
      </c>
      <c r="E3" t="s">
        <v>7</v>
      </c>
    </row>
    <row r="4" spans="1:5" x14ac:dyDescent="0.25">
      <c r="A4">
        <v>2121682491</v>
      </c>
      <c r="B4" t="s">
        <v>9</v>
      </c>
      <c r="C4" t="s">
        <v>10</v>
      </c>
      <c r="D4" s="2">
        <f>Summary!E4</f>
        <v>622516937.87</v>
      </c>
      <c r="E4" t="s">
        <v>7</v>
      </c>
    </row>
    <row r="5" spans="1:5" x14ac:dyDescent="0.25">
      <c r="A5">
        <v>93043689</v>
      </c>
      <c r="B5" t="s">
        <v>11</v>
      </c>
      <c r="C5" t="s">
        <v>10</v>
      </c>
      <c r="D5" s="2">
        <f>Summary!E5</f>
        <v>138498416.81</v>
      </c>
      <c r="E5" t="s">
        <v>7</v>
      </c>
    </row>
    <row r="6" spans="1:5" x14ac:dyDescent="0.25">
      <c r="A6">
        <v>2113619028</v>
      </c>
      <c r="B6" t="s">
        <v>12</v>
      </c>
      <c r="C6" t="s">
        <v>13</v>
      </c>
      <c r="D6" s="2">
        <f>Summary!E6</f>
        <v>337847582.27999997</v>
      </c>
      <c r="E6" t="s">
        <v>7</v>
      </c>
    </row>
    <row r="7" spans="1:5" x14ac:dyDescent="0.25">
      <c r="A7">
        <v>2119317296</v>
      </c>
      <c r="B7" t="s">
        <v>14</v>
      </c>
      <c r="C7" t="s">
        <v>13</v>
      </c>
      <c r="D7" s="2">
        <f>Summary!E7</f>
        <v>0</v>
      </c>
    </row>
    <row r="8" spans="1:5" x14ac:dyDescent="0.25">
      <c r="A8">
        <v>1306079948</v>
      </c>
      <c r="B8" t="s">
        <v>15</v>
      </c>
      <c r="C8" t="s">
        <v>13</v>
      </c>
      <c r="D8" s="2">
        <f>Summary!E8</f>
        <v>461892474.92999995</v>
      </c>
      <c r="E8" t="s">
        <v>7</v>
      </c>
    </row>
    <row r="9" spans="1:5" x14ac:dyDescent="0.25">
      <c r="A9">
        <v>2121494563</v>
      </c>
      <c r="B9" t="s">
        <v>16</v>
      </c>
      <c r="C9" t="s">
        <v>13</v>
      </c>
      <c r="D9" s="2">
        <f>Summary!E9</f>
        <v>265474610.75999999</v>
      </c>
      <c r="E9" t="s">
        <v>7</v>
      </c>
    </row>
    <row r="10" spans="1:5" x14ac:dyDescent="0.25">
      <c r="A10">
        <v>2122943927</v>
      </c>
      <c r="B10" t="s">
        <v>17</v>
      </c>
      <c r="C10" t="s">
        <v>13</v>
      </c>
      <c r="D10" s="2">
        <f>Summary!E10</f>
        <v>138449212.78999999</v>
      </c>
      <c r="E10" t="s">
        <v>7</v>
      </c>
    </row>
    <row r="11" spans="1:5" x14ac:dyDescent="0.25">
      <c r="A11">
        <v>2116096518</v>
      </c>
      <c r="B11" t="s">
        <v>18</v>
      </c>
      <c r="C11" t="s">
        <v>13</v>
      </c>
      <c r="D11" s="2">
        <f>Summary!E11</f>
        <v>0</v>
      </c>
    </row>
    <row r="12" spans="1:5" x14ac:dyDescent="0.25">
      <c r="A12">
        <v>2118020839</v>
      </c>
      <c r="B12" t="s">
        <v>19</v>
      </c>
      <c r="C12" t="s">
        <v>13</v>
      </c>
      <c r="D12" s="2">
        <f>Summary!E12</f>
        <v>353306976.56</v>
      </c>
      <c r="E12" t="s">
        <v>7</v>
      </c>
    </row>
    <row r="13" spans="1:5" x14ac:dyDescent="0.25">
      <c r="A13">
        <v>2114336555</v>
      </c>
      <c r="B13" t="s">
        <v>20</v>
      </c>
      <c r="C13" t="s">
        <v>13</v>
      </c>
      <c r="D13" s="2">
        <f>Summary!E13</f>
        <v>125566092.74000004</v>
      </c>
      <c r="E13" t="s">
        <v>21</v>
      </c>
    </row>
    <row r="14" spans="1:5" x14ac:dyDescent="0.25">
      <c r="A14">
        <v>95980469</v>
      </c>
      <c r="B14" t="s">
        <v>22</v>
      </c>
      <c r="C14" t="s">
        <v>13</v>
      </c>
      <c r="D14" s="2">
        <f>Summary!E14</f>
        <v>422432852.23000002</v>
      </c>
      <c r="E14" t="s">
        <v>7</v>
      </c>
    </row>
    <row r="15" spans="1:5" x14ac:dyDescent="0.25">
      <c r="A15">
        <v>91265846</v>
      </c>
      <c r="B15" t="s">
        <v>23</v>
      </c>
      <c r="C15" t="s">
        <v>13</v>
      </c>
      <c r="D15" s="2">
        <f>Summary!E15</f>
        <v>0</v>
      </c>
    </row>
    <row r="16" spans="1:5" x14ac:dyDescent="0.25">
      <c r="A16">
        <v>2119303949</v>
      </c>
      <c r="B16" t="s">
        <v>24</v>
      </c>
      <c r="C16" t="s">
        <v>13</v>
      </c>
      <c r="D16" s="2">
        <f>Summary!E16</f>
        <v>343014715.87</v>
      </c>
      <c r="E16" t="s">
        <v>7</v>
      </c>
    </row>
    <row r="17" spans="1:5" x14ac:dyDescent="0.25">
      <c r="A17">
        <v>2121530547</v>
      </c>
      <c r="B17" t="s">
        <v>25</v>
      </c>
      <c r="C17" t="s">
        <v>13</v>
      </c>
      <c r="D17" s="2">
        <f>Summary!E17</f>
        <v>-151237280.59999999</v>
      </c>
      <c r="E17" t="s">
        <v>21</v>
      </c>
    </row>
    <row r="18" spans="1:5" x14ac:dyDescent="0.25">
      <c r="A18">
        <v>2121165695</v>
      </c>
      <c r="B18" t="s">
        <v>26</v>
      </c>
      <c r="C18" t="s">
        <v>13</v>
      </c>
      <c r="D18" s="2">
        <f>Summary!E18</f>
        <v>701475098.49000001</v>
      </c>
      <c r="E18" t="s">
        <v>7</v>
      </c>
    </row>
    <row r="19" spans="1:5" x14ac:dyDescent="0.25">
      <c r="A19">
        <v>2114632092</v>
      </c>
      <c r="B19" t="s">
        <v>27</v>
      </c>
      <c r="C19" t="s">
        <v>13</v>
      </c>
      <c r="D19" s="2">
        <f>Summary!E19</f>
        <v>78425160.780000001</v>
      </c>
    </row>
    <row r="20" spans="1:5" x14ac:dyDescent="0.25">
      <c r="A20">
        <v>2121922385</v>
      </c>
      <c r="B20" t="s">
        <v>28</v>
      </c>
      <c r="C20" t="s">
        <v>13</v>
      </c>
      <c r="D20" s="2">
        <f>Summary!E20</f>
        <v>139276990.77000001</v>
      </c>
      <c r="E20" t="s">
        <v>7</v>
      </c>
    </row>
    <row r="21" spans="1:5" x14ac:dyDescent="0.25">
      <c r="A21">
        <v>2121841531</v>
      </c>
      <c r="B21" t="s">
        <v>29</v>
      </c>
      <c r="C21" t="s">
        <v>13</v>
      </c>
      <c r="D21" s="2">
        <f>Summary!E21</f>
        <v>138534400.49000001</v>
      </c>
      <c r="E21" t="s">
        <v>7</v>
      </c>
    </row>
    <row r="22" spans="1:5" x14ac:dyDescent="0.25">
      <c r="A22">
        <v>2120626124</v>
      </c>
      <c r="B22" t="s">
        <v>30</v>
      </c>
      <c r="C22" t="s">
        <v>13</v>
      </c>
      <c r="D22" s="2">
        <f>Summary!E22</f>
        <v>0</v>
      </c>
    </row>
    <row r="23" spans="1:5" x14ac:dyDescent="0.25">
      <c r="A23">
        <v>93741008</v>
      </c>
      <c r="B23" t="s">
        <v>31</v>
      </c>
      <c r="C23" t="s">
        <v>13</v>
      </c>
      <c r="D23" s="2">
        <f>Summary!E23</f>
        <v>138459133.30000001</v>
      </c>
      <c r="E23" t="s">
        <v>7</v>
      </c>
    </row>
    <row r="24" spans="1:5" x14ac:dyDescent="0.25">
      <c r="A24">
        <v>96700858</v>
      </c>
      <c r="B24" t="s">
        <v>32</v>
      </c>
      <c r="C24" t="s">
        <v>13</v>
      </c>
      <c r="D24" s="2">
        <f>Summary!E24</f>
        <v>703325610.93999994</v>
      </c>
      <c r="E24" t="s">
        <v>7</v>
      </c>
    </row>
    <row r="25" spans="1:5" x14ac:dyDescent="0.25">
      <c r="A25">
        <v>2120630134</v>
      </c>
      <c r="B25" t="s">
        <v>33</v>
      </c>
      <c r="C25" t="s">
        <v>13</v>
      </c>
      <c r="D25" s="2">
        <f>Summary!E25</f>
        <v>420147969.05999994</v>
      </c>
      <c r="E25" t="s">
        <v>7</v>
      </c>
    </row>
    <row r="26" spans="1:5" x14ac:dyDescent="0.25">
      <c r="A26">
        <v>2121442434</v>
      </c>
      <c r="B26" t="s">
        <v>34</v>
      </c>
      <c r="C26" t="s">
        <v>13</v>
      </c>
      <c r="D26" s="2">
        <f>Summary!E26</f>
        <v>346654918.89999998</v>
      </c>
    </row>
    <row r="27" spans="1:5" x14ac:dyDescent="0.25">
      <c r="A27">
        <v>2123262500</v>
      </c>
      <c r="B27" t="s">
        <v>35</v>
      </c>
      <c r="C27" t="s">
        <v>13</v>
      </c>
      <c r="D27" s="2">
        <f>Summary!E27</f>
        <v>401871819.13999999</v>
      </c>
      <c r="E27" t="s">
        <v>7</v>
      </c>
    </row>
    <row r="28" spans="1:5" x14ac:dyDescent="0.25">
      <c r="A28">
        <v>92053208</v>
      </c>
      <c r="B28" t="s">
        <v>36</v>
      </c>
      <c r="C28" t="s">
        <v>13</v>
      </c>
      <c r="D28" s="2">
        <f>Summary!E28</f>
        <v>312232222.72000003</v>
      </c>
      <c r="E28" t="s">
        <v>7</v>
      </c>
    </row>
    <row r="29" spans="1:5" x14ac:dyDescent="0.25">
      <c r="A29">
        <v>2122911798</v>
      </c>
      <c r="B29" t="s">
        <v>37</v>
      </c>
      <c r="C29" t="s">
        <v>13</v>
      </c>
      <c r="D29" s="2">
        <f>Summary!E29</f>
        <v>573795210.20000005</v>
      </c>
      <c r="E29" t="s">
        <v>7</v>
      </c>
    </row>
    <row r="30" spans="1:5" x14ac:dyDescent="0.25">
      <c r="A30">
        <v>2114092438</v>
      </c>
      <c r="B30" t="s">
        <v>38</v>
      </c>
      <c r="C30" t="s">
        <v>13</v>
      </c>
      <c r="D30" s="2">
        <f>Summary!E30</f>
        <v>415470703.74000001</v>
      </c>
    </row>
    <row r="31" spans="1:5" x14ac:dyDescent="0.25">
      <c r="A31">
        <v>2115222195</v>
      </c>
      <c r="B31" t="s">
        <v>39</v>
      </c>
      <c r="C31" t="s">
        <v>40</v>
      </c>
      <c r="D31" s="2">
        <f>Summary!E31</f>
        <v>731419075.77999997</v>
      </c>
      <c r="E31" t="s">
        <v>7</v>
      </c>
    </row>
    <row r="32" spans="1:5" x14ac:dyDescent="0.25">
      <c r="A32">
        <v>96300819</v>
      </c>
      <c r="B32" t="s">
        <v>41</v>
      </c>
      <c r="C32" t="s">
        <v>40</v>
      </c>
      <c r="D32" s="2">
        <f>Summary!E32</f>
        <v>138708863.50999999</v>
      </c>
      <c r="E32" t="s">
        <v>7</v>
      </c>
    </row>
    <row r="33" spans="1:5" x14ac:dyDescent="0.25">
      <c r="A33">
        <v>97211435</v>
      </c>
      <c r="B33" t="s">
        <v>42</v>
      </c>
      <c r="C33" t="s">
        <v>40</v>
      </c>
      <c r="D33" s="2">
        <f>Summary!E33</f>
        <v>289044971.16000003</v>
      </c>
      <c r="E33" t="s">
        <v>7</v>
      </c>
    </row>
    <row r="34" spans="1:5" x14ac:dyDescent="0.25">
      <c r="A34">
        <v>2121916941</v>
      </c>
      <c r="B34" t="s">
        <v>43</v>
      </c>
      <c r="C34" t="s">
        <v>40</v>
      </c>
      <c r="D34" s="2">
        <f>Summary!E34</f>
        <v>931813726.38</v>
      </c>
      <c r="E34" t="s">
        <v>7</v>
      </c>
    </row>
    <row r="35" spans="1:5" x14ac:dyDescent="0.25">
      <c r="A35">
        <v>97079341</v>
      </c>
      <c r="B35" t="s">
        <v>44</v>
      </c>
      <c r="C35" t="s">
        <v>40</v>
      </c>
      <c r="D35" s="2">
        <f>Summary!E35</f>
        <v>282623062.96000004</v>
      </c>
      <c r="E35" t="s">
        <v>7</v>
      </c>
    </row>
    <row r="36" spans="1:5" x14ac:dyDescent="0.25">
      <c r="A36">
        <v>296121326</v>
      </c>
      <c r="B36" t="s">
        <v>45</v>
      </c>
      <c r="C36" t="s">
        <v>40</v>
      </c>
      <c r="D36" s="2">
        <f>Summary!E36</f>
        <v>140407840.56999999</v>
      </c>
      <c r="E36" t="s">
        <v>7</v>
      </c>
    </row>
    <row r="37" spans="1:5" x14ac:dyDescent="0.25">
      <c r="A37">
        <v>2117812488</v>
      </c>
      <c r="B37" t="s">
        <v>46</v>
      </c>
      <c r="C37" t="s">
        <v>40</v>
      </c>
      <c r="D37" s="2">
        <f>Summary!E37</f>
        <v>277071191.19999999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topLeftCell="A58" workbookViewId="0">
      <selection activeCell="A18" sqref="A18"/>
    </sheetView>
  </sheetViews>
  <sheetFormatPr defaultRowHeight="15" x14ac:dyDescent="0.25"/>
  <cols>
    <col min="1" max="1" width="12.7109375" customWidth="1"/>
    <col min="3" max="3" width="15.28515625" customWidth="1"/>
    <col min="4" max="4" width="28.42578125" customWidth="1"/>
    <col min="5" max="5" width="30.5703125" customWidth="1"/>
  </cols>
  <sheetData>
    <row r="1" spans="1:6" x14ac:dyDescent="0.25">
      <c r="A1" s="1" t="s">
        <v>1</v>
      </c>
      <c r="B1" s="1" t="s">
        <v>2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 x14ac:dyDescent="0.25">
      <c r="A2" t="s">
        <v>5</v>
      </c>
      <c r="B2" t="s">
        <v>6</v>
      </c>
      <c r="C2" t="s">
        <v>51</v>
      </c>
      <c r="D2">
        <v>0</v>
      </c>
      <c r="E2" t="s">
        <v>52</v>
      </c>
      <c r="F2" s="4" t="s">
        <v>53</v>
      </c>
    </row>
    <row r="3" spans="1:6" x14ac:dyDescent="0.25">
      <c r="A3" t="s">
        <v>8</v>
      </c>
      <c r="B3" t="s">
        <v>6</v>
      </c>
      <c r="C3" t="s">
        <v>54</v>
      </c>
      <c r="D3">
        <v>138478724.87</v>
      </c>
      <c r="E3" t="s">
        <v>55</v>
      </c>
      <c r="F3" s="4" t="s">
        <v>56</v>
      </c>
    </row>
    <row r="4" spans="1:6" x14ac:dyDescent="0.25">
      <c r="A4" t="s">
        <v>8</v>
      </c>
      <c r="B4" t="s">
        <v>6</v>
      </c>
      <c r="C4" t="s">
        <v>54</v>
      </c>
      <c r="D4">
        <v>138761858.02000001</v>
      </c>
      <c r="E4" t="s">
        <v>57</v>
      </c>
      <c r="F4" s="4" t="s">
        <v>58</v>
      </c>
    </row>
    <row r="5" spans="1:6" x14ac:dyDescent="0.25">
      <c r="A5" t="s">
        <v>9</v>
      </c>
      <c r="B5" t="s">
        <v>10</v>
      </c>
      <c r="C5" t="s">
        <v>59</v>
      </c>
      <c r="D5">
        <v>286316045.94</v>
      </c>
      <c r="E5" t="s">
        <v>60</v>
      </c>
      <c r="F5" s="4" t="s">
        <v>61</v>
      </c>
    </row>
    <row r="6" spans="1:6" x14ac:dyDescent="0.25">
      <c r="A6" t="s">
        <v>9</v>
      </c>
      <c r="B6" t="s">
        <v>10</v>
      </c>
      <c r="C6" t="s">
        <v>59</v>
      </c>
      <c r="D6">
        <v>287755787.17000002</v>
      </c>
      <c r="E6" t="s">
        <v>62</v>
      </c>
      <c r="F6" s="4" t="s">
        <v>63</v>
      </c>
    </row>
    <row r="7" spans="1:6" x14ac:dyDescent="0.25">
      <c r="A7" t="s">
        <v>9</v>
      </c>
      <c r="B7" t="s">
        <v>10</v>
      </c>
      <c r="C7" t="s">
        <v>64</v>
      </c>
      <c r="D7">
        <v>48445104.759999998</v>
      </c>
      <c r="E7" t="s">
        <v>65</v>
      </c>
      <c r="F7" s="4" t="s">
        <v>66</v>
      </c>
    </row>
    <row r="8" spans="1:6" x14ac:dyDescent="0.25">
      <c r="A8" t="s">
        <v>11</v>
      </c>
      <c r="B8" t="s">
        <v>10</v>
      </c>
      <c r="C8" t="s">
        <v>54</v>
      </c>
      <c r="D8">
        <v>138498416.81</v>
      </c>
      <c r="E8" t="s">
        <v>67</v>
      </c>
      <c r="F8" s="4" t="s">
        <v>68</v>
      </c>
    </row>
    <row r="9" spans="1:6" x14ac:dyDescent="0.25">
      <c r="A9" t="s">
        <v>12</v>
      </c>
      <c r="B9" t="s">
        <v>13</v>
      </c>
      <c r="C9" t="s">
        <v>59</v>
      </c>
      <c r="D9">
        <v>337847582.27999997</v>
      </c>
      <c r="E9" t="s">
        <v>69</v>
      </c>
      <c r="F9" s="4" t="s">
        <v>70</v>
      </c>
    </row>
    <row r="10" spans="1:6" x14ac:dyDescent="0.25">
      <c r="A10" t="s">
        <v>14</v>
      </c>
      <c r="B10" t="s">
        <v>13</v>
      </c>
      <c r="C10" t="s">
        <v>71</v>
      </c>
      <c r="D10">
        <v>0</v>
      </c>
      <c r="E10" t="s">
        <v>72</v>
      </c>
      <c r="F10" s="4" t="s">
        <v>73</v>
      </c>
    </row>
    <row r="11" spans="1:6" x14ac:dyDescent="0.25">
      <c r="A11" t="s">
        <v>15</v>
      </c>
      <c r="B11" t="s">
        <v>13</v>
      </c>
      <c r="C11" t="s">
        <v>59</v>
      </c>
      <c r="D11">
        <v>386326139.25999999</v>
      </c>
      <c r="E11" t="s">
        <v>74</v>
      </c>
      <c r="F11" t="s">
        <v>75</v>
      </c>
    </row>
    <row r="12" spans="1:6" x14ac:dyDescent="0.25">
      <c r="A12" t="s">
        <v>15</v>
      </c>
      <c r="B12" t="s">
        <v>13</v>
      </c>
      <c r="C12" t="s">
        <v>51</v>
      </c>
      <c r="D12">
        <v>75566335.669999987</v>
      </c>
      <c r="E12" t="s">
        <v>76</v>
      </c>
      <c r="F12" t="s">
        <v>77</v>
      </c>
    </row>
    <row r="13" spans="1:6" x14ac:dyDescent="0.25">
      <c r="A13" t="s">
        <v>16</v>
      </c>
      <c r="B13" t="s">
        <v>13</v>
      </c>
      <c r="C13" t="s">
        <v>59</v>
      </c>
      <c r="D13">
        <v>265474610.75999999</v>
      </c>
      <c r="E13" t="s">
        <v>78</v>
      </c>
      <c r="F13" t="s">
        <v>79</v>
      </c>
    </row>
    <row r="14" spans="1:6" x14ac:dyDescent="0.25">
      <c r="A14" t="s">
        <v>17</v>
      </c>
      <c r="B14" t="s">
        <v>13</v>
      </c>
      <c r="C14" t="s">
        <v>54</v>
      </c>
      <c r="D14">
        <v>138449212.78999999</v>
      </c>
      <c r="E14" t="s">
        <v>80</v>
      </c>
      <c r="F14" t="s">
        <v>81</v>
      </c>
    </row>
    <row r="15" spans="1:6" x14ac:dyDescent="0.25">
      <c r="A15" t="s">
        <v>18</v>
      </c>
      <c r="B15" t="s">
        <v>13</v>
      </c>
      <c r="C15" t="s">
        <v>71</v>
      </c>
      <c r="D15">
        <v>0</v>
      </c>
      <c r="E15" t="s">
        <v>82</v>
      </c>
      <c r="F15" t="s">
        <v>83</v>
      </c>
    </row>
    <row r="16" spans="1:6" x14ac:dyDescent="0.25">
      <c r="A16" t="s">
        <v>19</v>
      </c>
      <c r="B16" t="s">
        <v>13</v>
      </c>
      <c r="C16" t="s">
        <v>59</v>
      </c>
      <c r="D16">
        <v>353306976.56</v>
      </c>
      <c r="E16" t="s">
        <v>84</v>
      </c>
      <c r="F16" t="s">
        <v>85</v>
      </c>
    </row>
    <row r="17" spans="1:6" x14ac:dyDescent="0.25">
      <c r="A17" t="s">
        <v>20</v>
      </c>
      <c r="B17" t="s">
        <v>13</v>
      </c>
      <c r="C17" t="s">
        <v>54</v>
      </c>
      <c r="D17">
        <v>138444521.09</v>
      </c>
      <c r="E17" t="s">
        <v>86</v>
      </c>
      <c r="F17" t="s">
        <v>87</v>
      </c>
    </row>
    <row r="18" spans="1:6" x14ac:dyDescent="0.25">
      <c r="A18" t="s">
        <v>20</v>
      </c>
      <c r="B18" t="s">
        <v>13</v>
      </c>
      <c r="C18" t="s">
        <v>54</v>
      </c>
      <c r="D18">
        <v>138358852.25</v>
      </c>
      <c r="E18" t="s">
        <v>88</v>
      </c>
      <c r="F18" t="s">
        <v>89</v>
      </c>
    </row>
    <row r="19" spans="1:6" x14ac:dyDescent="0.25">
      <c r="A19" t="s">
        <v>20</v>
      </c>
      <c r="B19" t="s">
        <v>13</v>
      </c>
      <c r="C19" t="s">
        <v>71</v>
      </c>
      <c r="D19">
        <v>-151237280.59999999</v>
      </c>
      <c r="E19" t="s">
        <v>90</v>
      </c>
      <c r="F19" s="4" t="s">
        <v>91</v>
      </c>
    </row>
    <row r="20" spans="1:6" x14ac:dyDescent="0.25">
      <c r="A20" t="s">
        <v>22</v>
      </c>
      <c r="B20" t="s">
        <v>13</v>
      </c>
      <c r="C20" t="s">
        <v>54</v>
      </c>
      <c r="D20">
        <v>138246609.44</v>
      </c>
      <c r="E20" t="s">
        <v>92</v>
      </c>
      <c r="F20" t="s">
        <v>93</v>
      </c>
    </row>
    <row r="21" spans="1:6" x14ac:dyDescent="0.25">
      <c r="A21" t="s">
        <v>22</v>
      </c>
      <c r="B21" t="s">
        <v>13</v>
      </c>
      <c r="C21" t="s">
        <v>59</v>
      </c>
      <c r="D21">
        <v>284186242.79000002</v>
      </c>
      <c r="E21" t="s">
        <v>94</v>
      </c>
      <c r="F21" t="s">
        <v>95</v>
      </c>
    </row>
    <row r="22" spans="1:6" x14ac:dyDescent="0.25">
      <c r="A22" t="s">
        <v>23</v>
      </c>
      <c r="B22" t="s">
        <v>13</v>
      </c>
      <c r="C22" t="s">
        <v>71</v>
      </c>
      <c r="D22">
        <v>0</v>
      </c>
      <c r="E22" t="s">
        <v>96</v>
      </c>
      <c r="F22" t="s">
        <v>97</v>
      </c>
    </row>
    <row r="23" spans="1:6" x14ac:dyDescent="0.25">
      <c r="A23" t="s">
        <v>24</v>
      </c>
      <c r="B23" t="s">
        <v>13</v>
      </c>
      <c r="C23" t="s">
        <v>54</v>
      </c>
      <c r="D23">
        <v>167498693.94</v>
      </c>
      <c r="E23" t="s">
        <v>98</v>
      </c>
      <c r="F23" t="s">
        <v>99</v>
      </c>
    </row>
    <row r="24" spans="1:6" x14ac:dyDescent="0.25">
      <c r="A24" t="s">
        <v>24</v>
      </c>
      <c r="B24" t="s">
        <v>13</v>
      </c>
      <c r="C24" t="s">
        <v>54</v>
      </c>
      <c r="D24">
        <v>175516021.93000001</v>
      </c>
      <c r="E24" t="s">
        <v>100</v>
      </c>
      <c r="F24" t="s">
        <v>101</v>
      </c>
    </row>
    <row r="25" spans="1:6" x14ac:dyDescent="0.25">
      <c r="A25" t="s">
        <v>25</v>
      </c>
      <c r="B25" t="s">
        <v>13</v>
      </c>
      <c r="C25" t="s">
        <v>71</v>
      </c>
      <c r="D25">
        <v>-151237280.59999999</v>
      </c>
      <c r="E25" t="s">
        <v>102</v>
      </c>
      <c r="F25" s="4" t="s">
        <v>103</v>
      </c>
    </row>
    <row r="26" spans="1:6" x14ac:dyDescent="0.25">
      <c r="A26" t="s">
        <v>26</v>
      </c>
      <c r="B26" t="s">
        <v>13</v>
      </c>
      <c r="C26" t="s">
        <v>59</v>
      </c>
      <c r="D26">
        <v>352537671.22000003</v>
      </c>
      <c r="E26" t="s">
        <v>104</v>
      </c>
      <c r="F26" t="s">
        <v>105</v>
      </c>
    </row>
    <row r="27" spans="1:6" x14ac:dyDescent="0.25">
      <c r="A27" t="s">
        <v>26</v>
      </c>
      <c r="B27" t="s">
        <v>13</v>
      </c>
      <c r="C27" t="s">
        <v>59</v>
      </c>
      <c r="D27">
        <v>348937427.26999998</v>
      </c>
      <c r="E27" t="s">
        <v>106</v>
      </c>
      <c r="F27" t="s">
        <v>107</v>
      </c>
    </row>
    <row r="28" spans="1:6" x14ac:dyDescent="0.25">
      <c r="A28" t="s">
        <v>27</v>
      </c>
      <c r="B28" t="s">
        <v>13</v>
      </c>
      <c r="C28" t="s">
        <v>71</v>
      </c>
      <c r="D28">
        <v>0</v>
      </c>
      <c r="E28" t="s">
        <v>108</v>
      </c>
      <c r="F28" t="s">
        <v>109</v>
      </c>
    </row>
    <row r="29" spans="1:6" x14ac:dyDescent="0.25">
      <c r="A29" t="s">
        <v>27</v>
      </c>
      <c r="B29" t="s">
        <v>13</v>
      </c>
      <c r="C29" t="s">
        <v>64</v>
      </c>
      <c r="D29">
        <v>26056389.710000001</v>
      </c>
      <c r="E29" t="s">
        <v>110</v>
      </c>
      <c r="F29" t="s">
        <v>111</v>
      </c>
    </row>
    <row r="30" spans="1:6" x14ac:dyDescent="0.25">
      <c r="A30" t="s">
        <v>27</v>
      </c>
      <c r="B30" t="s">
        <v>13</v>
      </c>
      <c r="C30" t="s">
        <v>64</v>
      </c>
      <c r="D30">
        <v>26026349.379999999</v>
      </c>
      <c r="E30" t="s">
        <v>112</v>
      </c>
      <c r="F30" t="s">
        <v>113</v>
      </c>
    </row>
    <row r="31" spans="1:6" x14ac:dyDescent="0.25">
      <c r="A31" t="s">
        <v>27</v>
      </c>
      <c r="B31" t="s">
        <v>13</v>
      </c>
      <c r="C31" t="s">
        <v>64</v>
      </c>
      <c r="D31">
        <v>26342421.690000001</v>
      </c>
      <c r="E31" t="s">
        <v>114</v>
      </c>
      <c r="F31" t="s">
        <v>115</v>
      </c>
    </row>
    <row r="32" spans="1:6" x14ac:dyDescent="0.25">
      <c r="A32" t="s">
        <v>28</v>
      </c>
      <c r="B32" t="s">
        <v>13</v>
      </c>
      <c r="C32" t="s">
        <v>54</v>
      </c>
      <c r="D32">
        <v>139276990.77000001</v>
      </c>
      <c r="E32" t="s">
        <v>116</v>
      </c>
      <c r="F32" s="4" t="s">
        <v>117</v>
      </c>
    </row>
    <row r="33" spans="1:6" x14ac:dyDescent="0.25">
      <c r="A33" t="s">
        <v>29</v>
      </c>
      <c r="B33" t="s">
        <v>13</v>
      </c>
      <c r="C33" t="s">
        <v>54</v>
      </c>
      <c r="D33">
        <v>138534400.49000001</v>
      </c>
      <c r="E33" t="s">
        <v>118</v>
      </c>
      <c r="F33" t="s">
        <v>119</v>
      </c>
    </row>
    <row r="34" spans="1:6" x14ac:dyDescent="0.25">
      <c r="A34" t="s">
        <v>30</v>
      </c>
      <c r="B34" t="s">
        <v>13</v>
      </c>
      <c r="C34" t="s">
        <v>71</v>
      </c>
      <c r="D34">
        <v>0</v>
      </c>
      <c r="E34" t="s">
        <v>120</v>
      </c>
      <c r="F34" t="s">
        <v>121</v>
      </c>
    </row>
    <row r="35" spans="1:6" x14ac:dyDescent="0.25">
      <c r="A35" t="s">
        <v>31</v>
      </c>
      <c r="B35" t="s">
        <v>13</v>
      </c>
      <c r="C35" t="s">
        <v>54</v>
      </c>
      <c r="D35">
        <v>138459133.30000001</v>
      </c>
      <c r="E35" t="s">
        <v>122</v>
      </c>
      <c r="F35" t="s">
        <v>123</v>
      </c>
    </row>
    <row r="36" spans="1:6" x14ac:dyDescent="0.25">
      <c r="A36" t="s">
        <v>32</v>
      </c>
      <c r="B36" t="s">
        <v>13</v>
      </c>
      <c r="C36" t="s">
        <v>59</v>
      </c>
      <c r="D36">
        <v>703325610.93999994</v>
      </c>
      <c r="E36" t="s">
        <v>124</v>
      </c>
      <c r="F36" t="s">
        <v>125</v>
      </c>
    </row>
    <row r="37" spans="1:6" x14ac:dyDescent="0.25">
      <c r="A37" t="s">
        <v>33</v>
      </c>
      <c r="B37" t="s">
        <v>13</v>
      </c>
      <c r="C37" t="s">
        <v>54</v>
      </c>
      <c r="D37">
        <v>138615126.75999999</v>
      </c>
      <c r="E37" t="s">
        <v>126</v>
      </c>
      <c r="F37" t="s">
        <v>127</v>
      </c>
    </row>
    <row r="38" spans="1:6" x14ac:dyDescent="0.25">
      <c r="A38" t="s">
        <v>33</v>
      </c>
      <c r="B38" t="s">
        <v>13</v>
      </c>
      <c r="C38" t="s">
        <v>54</v>
      </c>
      <c r="D38">
        <v>138367371.28999999</v>
      </c>
      <c r="E38" t="s">
        <v>128</v>
      </c>
      <c r="F38" t="s">
        <v>129</v>
      </c>
    </row>
    <row r="39" spans="1:6" x14ac:dyDescent="0.25">
      <c r="A39" t="s">
        <v>33</v>
      </c>
      <c r="B39" t="s">
        <v>13</v>
      </c>
      <c r="C39" t="s">
        <v>54</v>
      </c>
      <c r="D39">
        <v>143165471.00999999</v>
      </c>
      <c r="E39" t="s">
        <v>130</v>
      </c>
      <c r="F39" t="s">
        <v>131</v>
      </c>
    </row>
    <row r="40" spans="1:6" x14ac:dyDescent="0.25">
      <c r="A40" t="s">
        <v>34</v>
      </c>
      <c r="B40" t="s">
        <v>13</v>
      </c>
      <c r="C40" t="s">
        <v>54</v>
      </c>
      <c r="D40">
        <v>138483724.31</v>
      </c>
      <c r="E40" t="s">
        <v>132</v>
      </c>
      <c r="F40" t="s">
        <v>133</v>
      </c>
    </row>
    <row r="41" spans="1:6" x14ac:dyDescent="0.25">
      <c r="A41" t="s">
        <v>34</v>
      </c>
      <c r="B41" t="s">
        <v>13</v>
      </c>
      <c r="C41" t="s">
        <v>54</v>
      </c>
      <c r="D41">
        <v>138676068.59</v>
      </c>
      <c r="E41" t="s">
        <v>134</v>
      </c>
      <c r="F41" s="4" t="s">
        <v>135</v>
      </c>
    </row>
    <row r="42" spans="1:6" x14ac:dyDescent="0.25">
      <c r="A42" t="s">
        <v>34</v>
      </c>
      <c r="B42" t="s">
        <v>13</v>
      </c>
      <c r="C42" t="s">
        <v>51</v>
      </c>
      <c r="D42">
        <v>69495126</v>
      </c>
      <c r="E42" t="s">
        <v>136</v>
      </c>
      <c r="F42" t="s">
        <v>137</v>
      </c>
    </row>
    <row r="43" spans="1:6" x14ac:dyDescent="0.25">
      <c r="A43" t="s">
        <v>34</v>
      </c>
      <c r="B43" t="s">
        <v>13</v>
      </c>
      <c r="C43" t="s">
        <v>71</v>
      </c>
      <c r="D43">
        <v>0</v>
      </c>
      <c r="E43" t="s">
        <v>138</v>
      </c>
      <c r="F43" t="s">
        <v>139</v>
      </c>
    </row>
    <row r="44" spans="1:6" x14ac:dyDescent="0.25">
      <c r="A44" t="s">
        <v>35</v>
      </c>
      <c r="B44" t="s">
        <v>13</v>
      </c>
      <c r="C44" t="s">
        <v>59</v>
      </c>
      <c r="D44">
        <v>401871819.13999999</v>
      </c>
      <c r="E44" t="s">
        <v>140</v>
      </c>
      <c r="F44" t="s">
        <v>141</v>
      </c>
    </row>
    <row r="45" spans="1:6" x14ac:dyDescent="0.25">
      <c r="A45" t="s">
        <v>36</v>
      </c>
      <c r="B45" t="s">
        <v>13</v>
      </c>
      <c r="C45" t="s">
        <v>54</v>
      </c>
      <c r="D45">
        <v>138415255.49000001</v>
      </c>
      <c r="E45" t="s">
        <v>142</v>
      </c>
      <c r="F45" t="s">
        <v>143</v>
      </c>
    </row>
    <row r="46" spans="1:6" x14ac:dyDescent="0.25">
      <c r="A46" t="s">
        <v>36</v>
      </c>
      <c r="B46" t="s">
        <v>13</v>
      </c>
      <c r="C46" t="s">
        <v>54</v>
      </c>
      <c r="D46">
        <v>173816967.22999999</v>
      </c>
      <c r="E46" t="s">
        <v>144</v>
      </c>
      <c r="F46" t="s">
        <v>145</v>
      </c>
    </row>
    <row r="47" spans="1:6" x14ac:dyDescent="0.25">
      <c r="A47" t="s">
        <v>37</v>
      </c>
      <c r="B47" t="s">
        <v>13</v>
      </c>
      <c r="C47" t="s">
        <v>59</v>
      </c>
      <c r="D47">
        <v>286636928.82999998</v>
      </c>
      <c r="E47" t="s">
        <v>146</v>
      </c>
      <c r="F47" t="s">
        <v>147</v>
      </c>
    </row>
    <row r="48" spans="1:6" x14ac:dyDescent="0.25">
      <c r="A48" t="s">
        <v>37</v>
      </c>
      <c r="B48" t="s">
        <v>13</v>
      </c>
      <c r="C48" t="s">
        <v>59</v>
      </c>
      <c r="D48">
        <v>287158281.37</v>
      </c>
      <c r="E48" t="s">
        <v>148</v>
      </c>
      <c r="F48" t="s">
        <v>149</v>
      </c>
    </row>
    <row r="49" spans="1:6" x14ac:dyDescent="0.25">
      <c r="A49" t="s">
        <v>38</v>
      </c>
      <c r="B49" t="s">
        <v>13</v>
      </c>
      <c r="C49" t="s">
        <v>54</v>
      </c>
      <c r="D49">
        <v>138437530.03999999</v>
      </c>
      <c r="E49" t="s">
        <v>150</v>
      </c>
      <c r="F49" t="s">
        <v>151</v>
      </c>
    </row>
    <row r="50" spans="1:6" x14ac:dyDescent="0.25">
      <c r="A50" t="s">
        <v>38</v>
      </c>
      <c r="B50" t="s">
        <v>13</v>
      </c>
      <c r="C50" t="s">
        <v>54</v>
      </c>
      <c r="D50">
        <v>138492539.81</v>
      </c>
      <c r="E50" t="s">
        <v>152</v>
      </c>
      <c r="F50" t="s">
        <v>153</v>
      </c>
    </row>
    <row r="51" spans="1:6" x14ac:dyDescent="0.25">
      <c r="A51" t="s">
        <v>38</v>
      </c>
      <c r="B51" t="s">
        <v>13</v>
      </c>
      <c r="C51" t="s">
        <v>54</v>
      </c>
      <c r="D51">
        <v>138540633.88999999</v>
      </c>
      <c r="E51" t="s">
        <v>154</v>
      </c>
      <c r="F51" t="s">
        <v>155</v>
      </c>
    </row>
    <row r="52" spans="1:6" x14ac:dyDescent="0.25">
      <c r="A52" t="s">
        <v>38</v>
      </c>
      <c r="B52" t="s">
        <v>13</v>
      </c>
      <c r="C52" t="s">
        <v>71</v>
      </c>
      <c r="D52">
        <v>0</v>
      </c>
      <c r="E52" t="s">
        <v>156</v>
      </c>
      <c r="F52" t="s">
        <v>157</v>
      </c>
    </row>
    <row r="53" spans="1:6" x14ac:dyDescent="0.25">
      <c r="A53" t="s">
        <v>39</v>
      </c>
      <c r="B53" t="s">
        <v>40</v>
      </c>
      <c r="C53" t="s">
        <v>54</v>
      </c>
      <c r="D53">
        <v>138559883.09</v>
      </c>
      <c r="E53" t="s">
        <v>158</v>
      </c>
      <c r="F53" s="4" t="s">
        <v>159</v>
      </c>
    </row>
    <row r="54" spans="1:6" x14ac:dyDescent="0.25">
      <c r="A54" t="s">
        <v>39</v>
      </c>
      <c r="B54" t="s">
        <v>40</v>
      </c>
      <c r="C54" t="s">
        <v>54</v>
      </c>
      <c r="D54">
        <v>138365236.37</v>
      </c>
      <c r="E54" t="s">
        <v>160</v>
      </c>
      <c r="F54" s="4" t="s">
        <v>161</v>
      </c>
    </row>
    <row r="55" spans="1:6" x14ac:dyDescent="0.25">
      <c r="A55" t="s">
        <v>39</v>
      </c>
      <c r="B55" t="s">
        <v>40</v>
      </c>
      <c r="C55" t="s">
        <v>54</v>
      </c>
      <c r="D55">
        <v>138476820.88999999</v>
      </c>
      <c r="E55" t="s">
        <v>162</v>
      </c>
      <c r="F55" s="4" t="s">
        <v>163</v>
      </c>
    </row>
    <row r="56" spans="1:6" x14ac:dyDescent="0.25">
      <c r="A56" t="s">
        <v>39</v>
      </c>
      <c r="B56" t="s">
        <v>40</v>
      </c>
      <c r="C56" t="s">
        <v>54</v>
      </c>
      <c r="D56">
        <v>140468270.88999999</v>
      </c>
      <c r="E56" t="s">
        <v>164</v>
      </c>
      <c r="F56" s="4" t="s">
        <v>165</v>
      </c>
    </row>
    <row r="57" spans="1:6" x14ac:dyDescent="0.25">
      <c r="A57" t="s">
        <v>39</v>
      </c>
      <c r="B57" t="s">
        <v>40</v>
      </c>
      <c r="C57" t="s">
        <v>54</v>
      </c>
      <c r="D57">
        <v>175548864.53999999</v>
      </c>
      <c r="E57" t="s">
        <v>166</v>
      </c>
      <c r="F57" s="4" t="s">
        <v>167</v>
      </c>
    </row>
    <row r="58" spans="1:6" x14ac:dyDescent="0.25">
      <c r="A58" t="s">
        <v>41</v>
      </c>
      <c r="B58" t="s">
        <v>40</v>
      </c>
      <c r="C58" t="s">
        <v>54</v>
      </c>
      <c r="D58">
        <v>138708863.50999999</v>
      </c>
      <c r="E58" t="s">
        <v>168</v>
      </c>
      <c r="F58" s="4" t="s">
        <v>169</v>
      </c>
    </row>
    <row r="59" spans="1:6" x14ac:dyDescent="0.25">
      <c r="A59" t="s">
        <v>42</v>
      </c>
      <c r="B59" t="s">
        <v>40</v>
      </c>
      <c r="C59" t="s">
        <v>59</v>
      </c>
      <c r="D59">
        <v>289044971.16000003</v>
      </c>
      <c r="E59" t="s">
        <v>170</v>
      </c>
      <c r="F59" s="4" t="s">
        <v>171</v>
      </c>
    </row>
    <row r="60" spans="1:6" x14ac:dyDescent="0.25">
      <c r="A60" t="s">
        <v>43</v>
      </c>
      <c r="B60" t="s">
        <v>40</v>
      </c>
      <c r="C60" t="s">
        <v>54</v>
      </c>
      <c r="D60">
        <v>174763725.96000001</v>
      </c>
      <c r="E60" t="s">
        <v>172</v>
      </c>
      <c r="F60" s="4" t="s">
        <v>173</v>
      </c>
    </row>
    <row r="61" spans="1:6" x14ac:dyDescent="0.25">
      <c r="A61" t="s">
        <v>43</v>
      </c>
      <c r="B61" t="s">
        <v>40</v>
      </c>
      <c r="C61" t="s">
        <v>54</v>
      </c>
      <c r="D61">
        <v>138428936.69</v>
      </c>
      <c r="E61" t="s">
        <v>174</v>
      </c>
      <c r="F61" s="4" t="s">
        <v>175</v>
      </c>
    </row>
    <row r="62" spans="1:6" x14ac:dyDescent="0.25">
      <c r="A62" t="s">
        <v>43</v>
      </c>
      <c r="B62" t="s">
        <v>40</v>
      </c>
      <c r="C62" t="s">
        <v>54</v>
      </c>
      <c r="D62">
        <v>138377056.84999999</v>
      </c>
      <c r="E62" t="s">
        <v>176</v>
      </c>
      <c r="F62" s="4" t="s">
        <v>177</v>
      </c>
    </row>
    <row r="63" spans="1:6" x14ac:dyDescent="0.25">
      <c r="A63" t="s">
        <v>43</v>
      </c>
      <c r="B63" t="s">
        <v>40</v>
      </c>
      <c r="C63" t="s">
        <v>54</v>
      </c>
      <c r="D63">
        <v>138504183.28999999</v>
      </c>
      <c r="E63" t="s">
        <v>178</v>
      </c>
      <c r="F63" s="4" t="s">
        <v>179</v>
      </c>
    </row>
    <row r="64" spans="1:6" x14ac:dyDescent="0.25">
      <c r="A64" t="s">
        <v>43</v>
      </c>
      <c r="B64" t="s">
        <v>40</v>
      </c>
      <c r="C64" t="s">
        <v>54</v>
      </c>
      <c r="D64">
        <v>166254240.25999999</v>
      </c>
      <c r="E64" t="s">
        <v>180</v>
      </c>
      <c r="F64" s="4" t="s">
        <v>181</v>
      </c>
    </row>
    <row r="65" spans="1:6" x14ac:dyDescent="0.25">
      <c r="A65" t="s">
        <v>43</v>
      </c>
      <c r="B65" t="s">
        <v>40</v>
      </c>
      <c r="C65" t="s">
        <v>54</v>
      </c>
      <c r="D65">
        <v>175485583.33000001</v>
      </c>
      <c r="E65" t="s">
        <v>182</v>
      </c>
      <c r="F65" s="4" t="s">
        <v>183</v>
      </c>
    </row>
    <row r="66" spans="1:6" x14ac:dyDescent="0.25">
      <c r="A66" t="s">
        <v>44</v>
      </c>
      <c r="B66" t="s">
        <v>40</v>
      </c>
      <c r="C66" t="s">
        <v>54</v>
      </c>
      <c r="D66">
        <v>138344550.53</v>
      </c>
      <c r="E66" t="s">
        <v>184</v>
      </c>
      <c r="F66" s="4" t="s">
        <v>185</v>
      </c>
    </row>
    <row r="67" spans="1:6" x14ac:dyDescent="0.25">
      <c r="A67" t="s">
        <v>44</v>
      </c>
      <c r="B67" t="s">
        <v>40</v>
      </c>
      <c r="C67" t="s">
        <v>54</v>
      </c>
      <c r="D67">
        <v>144278512.43000001</v>
      </c>
      <c r="E67" t="s">
        <v>186</v>
      </c>
      <c r="F67" s="4" t="s">
        <v>187</v>
      </c>
    </row>
    <row r="68" spans="1:6" x14ac:dyDescent="0.25">
      <c r="A68" t="s">
        <v>45</v>
      </c>
      <c r="B68" t="s">
        <v>40</v>
      </c>
      <c r="C68" t="s">
        <v>54</v>
      </c>
      <c r="D68">
        <v>140407840.56999999</v>
      </c>
      <c r="E68" t="s">
        <v>188</v>
      </c>
      <c r="F68" s="4" t="s">
        <v>189</v>
      </c>
    </row>
    <row r="69" spans="1:6" x14ac:dyDescent="0.25">
      <c r="A69" t="s">
        <v>46</v>
      </c>
      <c r="B69" t="s">
        <v>40</v>
      </c>
      <c r="C69" t="s">
        <v>54</v>
      </c>
      <c r="D69">
        <v>138543479.50999999</v>
      </c>
      <c r="E69" t="s">
        <v>190</v>
      </c>
      <c r="F69" s="4" t="s">
        <v>191</v>
      </c>
    </row>
    <row r="70" spans="1:6" x14ac:dyDescent="0.25">
      <c r="A70" t="s">
        <v>46</v>
      </c>
      <c r="B70" t="s">
        <v>40</v>
      </c>
      <c r="C70" t="s">
        <v>54</v>
      </c>
      <c r="D70">
        <v>138527711.69</v>
      </c>
      <c r="E70" t="s">
        <v>192</v>
      </c>
      <c r="F70" s="4" t="s">
        <v>193</v>
      </c>
    </row>
    <row r="71" spans="1:6" x14ac:dyDescent="0.25">
      <c r="A71" t="s">
        <v>46</v>
      </c>
      <c r="B71" t="s">
        <v>40</v>
      </c>
      <c r="C71" t="s">
        <v>71</v>
      </c>
      <c r="D71">
        <v>0</v>
      </c>
      <c r="E71" t="s">
        <v>194</v>
      </c>
      <c r="F71" s="4" t="s">
        <v>195</v>
      </c>
    </row>
  </sheetData>
  <hyperlinks>
    <hyperlink ref="F19" r:id="rId1" xr:uid="{185472FA-8AEF-4155-96A7-A0D3D6B01BD7}"/>
    <hyperlink ref="F10" r:id="rId2" xr:uid="{A9A37F7C-8CAE-4EEE-BD94-9E229E639AEE}"/>
    <hyperlink ref="F32" r:id="rId3" xr:uid="{415BFA95-5E85-4C1B-8D06-75069084C416}"/>
    <hyperlink ref="F41" r:id="rId4" xr:uid="{9E6702C3-6C54-451F-8B40-B0215AACCA6C}"/>
    <hyperlink ref="F53" r:id="rId5" xr:uid="{6B02E951-A49F-48D1-AEF6-77E7A94E8A9D}"/>
    <hyperlink ref="F54" r:id="rId6" xr:uid="{E1AC0F6B-EFF1-47EF-8966-B3E125B381E6}"/>
    <hyperlink ref="F55" r:id="rId7" xr:uid="{D5505C0D-F272-40EE-8740-AEBAC86D92B2}"/>
    <hyperlink ref="F57" r:id="rId8" xr:uid="{279863EF-21D3-4B71-A141-7FFD96470B71}"/>
    <hyperlink ref="F56" r:id="rId9" xr:uid="{4EFE92BE-0E09-49A7-88E2-F58F4D843398}"/>
    <hyperlink ref="F58" r:id="rId10" xr:uid="{6DF21D35-3C14-4F4E-B07A-57A80E993560}"/>
    <hyperlink ref="F59" r:id="rId11" xr:uid="{8EDAC414-447C-454E-8AB3-A1FE9AB83EDA}"/>
    <hyperlink ref="F60" r:id="rId12" xr:uid="{3519F1C0-C546-4AC7-A93A-247032D5A93B}"/>
    <hyperlink ref="F61" r:id="rId13" xr:uid="{4AC40E4D-E300-412A-9C62-6354282123E7}"/>
    <hyperlink ref="F62" r:id="rId14" xr:uid="{C6BEE544-6FD3-4A7A-94CB-58C14D749A53}"/>
    <hyperlink ref="F63" r:id="rId15" xr:uid="{3B2266B6-B963-412A-9D00-1F2515E5F62B}"/>
    <hyperlink ref="F64" r:id="rId16" xr:uid="{FD032F44-3441-407A-96EC-43D062E17562}"/>
    <hyperlink ref="F65" r:id="rId17" xr:uid="{994C4605-3EC5-4ACD-9A9A-F97962873E13}"/>
    <hyperlink ref="F66" r:id="rId18" xr:uid="{E9233E07-AF79-48E1-A1CC-611DC4CF1E75}"/>
    <hyperlink ref="F67" r:id="rId19" xr:uid="{D819688A-AF14-4990-A298-8537B8FDCB2E}"/>
    <hyperlink ref="F68" r:id="rId20" xr:uid="{2FEE1C2F-6C6F-4B2A-972C-B5C7283AB725}"/>
    <hyperlink ref="F69" r:id="rId21" xr:uid="{51283D2A-79A8-4238-9F6E-E815C13883E3}"/>
    <hyperlink ref="F71" r:id="rId22" xr:uid="{F0D1D25C-3C9C-4CD3-9179-74183962F5CD}"/>
    <hyperlink ref="F70" r:id="rId23" xr:uid="{E62F6C5A-E92D-4483-9D74-31CF6EA3045D}"/>
    <hyperlink ref="F2" r:id="rId24" xr:uid="{447DC720-F3BC-40BA-9A75-4E736A6777F2}"/>
    <hyperlink ref="F3" r:id="rId25" xr:uid="{2BBB0CEC-1966-4D6A-9256-E5D61CD8160B}"/>
    <hyperlink ref="F5" r:id="rId26" xr:uid="{3FB35FA2-AD9D-4F72-821D-1B64DE580888}"/>
    <hyperlink ref="F4" r:id="rId27" xr:uid="{17C0FF7D-643C-44C1-8791-66BC8FEF68F3}"/>
    <hyperlink ref="F6" r:id="rId28" xr:uid="{94EE30D3-2636-42E9-82D2-18B0B4E9F1A5}"/>
    <hyperlink ref="F7" r:id="rId29" xr:uid="{EB8F0615-5CB1-4CEA-9C12-FC96C6821DE8}"/>
    <hyperlink ref="F8" r:id="rId30" xr:uid="{EA7A7B64-6118-438F-B4F2-17F8D8E1DD54}"/>
    <hyperlink ref="F9" r:id="rId31" xr:uid="{93A536D1-47C7-421D-9EA0-E8ABEF2754E9}"/>
    <hyperlink ref="F25" r:id="rId32" xr:uid="{B7ED3433-9EB5-4803-B2C4-BEEF447E71A4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topLeftCell="A16" workbookViewId="0">
      <selection sqref="A1:E38"/>
    </sheetView>
  </sheetViews>
  <sheetFormatPr defaultRowHeight="15" x14ac:dyDescent="0.25"/>
  <cols>
    <col min="3" max="3" width="16" customWidth="1"/>
    <col min="4" max="4" width="13.7109375" customWidth="1"/>
    <col min="5" max="5" width="21.28515625" customWidth="1"/>
    <col min="11" max="11" width="12" bestFit="1" customWidth="1"/>
  </cols>
  <sheetData>
    <row r="1" spans="1:5" x14ac:dyDescent="0.25">
      <c r="A1" s="1" t="s">
        <v>1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25">
      <c r="A2" t="s">
        <v>5</v>
      </c>
      <c r="B2" t="s">
        <v>6</v>
      </c>
      <c r="C2" s="2">
        <f>SUMIFS('Links for check'!D:D, 'Links for check'!A:A, A2, 'Links for check'!C:C, "&lt;&gt;LightShip_links")</f>
        <v>0</v>
      </c>
      <c r="D2" s="2">
        <f>SUMIFS('Links for check'!D:D, 'Links for check'!A:A, A2, 'Links for check'!C:C, "LightShip_links")</f>
        <v>0</v>
      </c>
      <c r="E2" s="2">
        <f t="shared" ref="E2:E37" si="0">C2+D2</f>
        <v>0</v>
      </c>
    </row>
    <row r="3" spans="1:5" x14ac:dyDescent="0.25">
      <c r="A3" t="s">
        <v>8</v>
      </c>
      <c r="B3" t="s">
        <v>6</v>
      </c>
      <c r="C3" s="2">
        <f>SUMIFS('Links for check'!D:D, 'Links for check'!A:A, A3, 'Links for check'!C:C, "&lt;&gt;LightShip_links")</f>
        <v>277240582.88999999</v>
      </c>
      <c r="D3" s="2">
        <f>SUMIFS('Links for check'!D:D, 'Links for check'!A:A, A3, 'Links for check'!C:C, "LightShip_links")</f>
        <v>0</v>
      </c>
      <c r="E3" s="2">
        <f t="shared" si="0"/>
        <v>277240582.88999999</v>
      </c>
    </row>
    <row r="4" spans="1:5" x14ac:dyDescent="0.25">
      <c r="A4" t="s">
        <v>9</v>
      </c>
      <c r="B4" t="s">
        <v>10</v>
      </c>
      <c r="C4" s="2">
        <f>SUMIFS('Links for check'!D:D, 'Links for check'!A:A, A4, 'Links for check'!C:C, "&lt;&gt;LightShip_links")</f>
        <v>574071833.11000001</v>
      </c>
      <c r="D4" s="2">
        <f>SUMIFS('Links for check'!D:D, 'Links for check'!A:A, A4, 'Links for check'!C:C, "LightShip_links")</f>
        <v>48445104.759999998</v>
      </c>
      <c r="E4" s="2">
        <f t="shared" si="0"/>
        <v>622516937.87</v>
      </c>
    </row>
    <row r="5" spans="1:5" x14ac:dyDescent="0.25">
      <c r="A5" t="s">
        <v>11</v>
      </c>
      <c r="B5" t="s">
        <v>10</v>
      </c>
      <c r="C5" s="2">
        <f>SUMIFS('Links for check'!D:D, 'Links for check'!A:A, A5, 'Links for check'!C:C, "&lt;&gt;LightShip_links")</f>
        <v>138498416.81</v>
      </c>
      <c r="D5" s="2">
        <f>SUMIFS('Links for check'!D:D, 'Links for check'!A:A, A5, 'Links for check'!C:C, "LightShip_links")</f>
        <v>0</v>
      </c>
      <c r="E5" s="2">
        <f t="shared" si="0"/>
        <v>138498416.81</v>
      </c>
    </row>
    <row r="6" spans="1:5" x14ac:dyDescent="0.25">
      <c r="A6" t="s">
        <v>12</v>
      </c>
      <c r="B6" t="s">
        <v>13</v>
      </c>
      <c r="C6" s="2">
        <f>SUMIFS('Links for check'!D:D, 'Links for check'!A:A, A6, 'Links for check'!C:C, "&lt;&gt;LightShip_links")</f>
        <v>337847582.27999997</v>
      </c>
      <c r="D6" s="2">
        <f>SUMIFS('Links for check'!D:D, 'Links for check'!A:A, A6, 'Links for check'!C:C, "LightShip_links")</f>
        <v>0</v>
      </c>
      <c r="E6" s="2">
        <f t="shared" si="0"/>
        <v>337847582.27999997</v>
      </c>
    </row>
    <row r="7" spans="1:5" x14ac:dyDescent="0.25">
      <c r="A7" t="s">
        <v>14</v>
      </c>
      <c r="B7" t="s">
        <v>13</v>
      </c>
      <c r="C7" s="2">
        <f>SUMIFS('Links for check'!D:D, 'Links for check'!A:A, A7, 'Links for check'!C:C, "&lt;&gt;LightShip_links")</f>
        <v>0</v>
      </c>
      <c r="D7" s="2">
        <f>SUMIFS('Links for check'!D:D, 'Links for check'!A:A, A7, 'Links for check'!C:C, "LightShip_links")</f>
        <v>0</v>
      </c>
      <c r="E7" s="2">
        <f t="shared" si="0"/>
        <v>0</v>
      </c>
    </row>
    <row r="8" spans="1:5" x14ac:dyDescent="0.25">
      <c r="A8" t="s">
        <v>15</v>
      </c>
      <c r="B8" t="s">
        <v>13</v>
      </c>
      <c r="C8" s="2">
        <f>SUMIFS('Links for check'!D:D, 'Links for check'!A:A, A8, 'Links for check'!C:C, "&lt;&gt;LightShip_links")</f>
        <v>461892474.92999995</v>
      </c>
      <c r="D8" s="2">
        <f>SUMIFS('Links for check'!D:D, 'Links for check'!A:A, A8, 'Links for check'!C:C, "LightShip_links")</f>
        <v>0</v>
      </c>
      <c r="E8" s="2">
        <f t="shared" si="0"/>
        <v>461892474.92999995</v>
      </c>
    </row>
    <row r="9" spans="1:5" x14ac:dyDescent="0.25">
      <c r="A9" t="s">
        <v>16</v>
      </c>
      <c r="B9" t="s">
        <v>13</v>
      </c>
      <c r="C9" s="2">
        <f>SUMIFS('Links for check'!D:D, 'Links for check'!A:A, A9, 'Links for check'!C:C, "&lt;&gt;LightShip_links")</f>
        <v>265474610.75999999</v>
      </c>
      <c r="D9" s="2">
        <f>SUMIFS('Links for check'!D:D, 'Links for check'!A:A, A9, 'Links for check'!C:C, "LightShip_links")</f>
        <v>0</v>
      </c>
      <c r="E9" s="2">
        <f t="shared" si="0"/>
        <v>265474610.75999999</v>
      </c>
    </row>
    <row r="10" spans="1:5" x14ac:dyDescent="0.25">
      <c r="A10" t="s">
        <v>17</v>
      </c>
      <c r="B10" t="s">
        <v>13</v>
      </c>
      <c r="C10" s="2">
        <f>SUMIFS('Links for check'!D:D, 'Links for check'!A:A, A10, 'Links for check'!C:C, "&lt;&gt;LightShip_links")</f>
        <v>138449212.78999999</v>
      </c>
      <c r="D10" s="2">
        <f>SUMIFS('Links for check'!D:D, 'Links for check'!A:A, A10, 'Links for check'!C:C, "LightShip_links")</f>
        <v>0</v>
      </c>
      <c r="E10" s="2">
        <f t="shared" si="0"/>
        <v>138449212.78999999</v>
      </c>
    </row>
    <row r="11" spans="1:5" x14ac:dyDescent="0.25">
      <c r="A11" t="s">
        <v>18</v>
      </c>
      <c r="B11" t="s">
        <v>13</v>
      </c>
      <c r="C11" s="2">
        <f>SUMIFS('Links for check'!D:D, 'Links for check'!A:A, A11, 'Links for check'!C:C, "&lt;&gt;LightShip_links")</f>
        <v>0</v>
      </c>
      <c r="D11" s="2">
        <f>SUMIFS('Links for check'!D:D, 'Links for check'!A:A, A11, 'Links for check'!C:C, "LightShip_links")</f>
        <v>0</v>
      </c>
      <c r="E11" s="2">
        <f t="shared" si="0"/>
        <v>0</v>
      </c>
    </row>
    <row r="12" spans="1:5" x14ac:dyDescent="0.25">
      <c r="A12" t="s">
        <v>19</v>
      </c>
      <c r="B12" t="s">
        <v>13</v>
      </c>
      <c r="C12" s="2">
        <f>SUMIFS('Links for check'!D:D, 'Links for check'!A:A, A12, 'Links for check'!C:C, "&lt;&gt;LightShip_links")</f>
        <v>353306976.56</v>
      </c>
      <c r="D12" s="2">
        <f>SUMIFS('Links for check'!D:D, 'Links for check'!A:A, A12, 'Links for check'!C:C, "LightShip_links")</f>
        <v>0</v>
      </c>
      <c r="E12" s="2">
        <f t="shared" si="0"/>
        <v>353306976.56</v>
      </c>
    </row>
    <row r="13" spans="1:5" x14ac:dyDescent="0.25">
      <c r="A13" t="s">
        <v>20</v>
      </c>
      <c r="B13" t="s">
        <v>13</v>
      </c>
      <c r="C13" s="2">
        <f>SUMIFS('Links for check'!D:D, 'Links for check'!A:A, A13, 'Links for check'!C:C, "&lt;&gt;LightShip_links")</f>
        <v>125566092.74000004</v>
      </c>
      <c r="D13" s="2">
        <f>SUMIFS('Links for check'!D:D, 'Links for check'!A:A, A13, 'Links for check'!C:C, "LightShip_links")</f>
        <v>0</v>
      </c>
      <c r="E13" s="2">
        <f t="shared" si="0"/>
        <v>125566092.74000004</v>
      </c>
    </row>
    <row r="14" spans="1:5" x14ac:dyDescent="0.25">
      <c r="A14" t="s">
        <v>22</v>
      </c>
      <c r="B14" t="s">
        <v>13</v>
      </c>
      <c r="C14" s="2">
        <f>SUMIFS('Links for check'!D:D, 'Links for check'!A:A, A14, 'Links for check'!C:C, "&lt;&gt;LightShip_links")</f>
        <v>422432852.23000002</v>
      </c>
      <c r="D14" s="2">
        <f>SUMIFS('Links for check'!D:D, 'Links for check'!A:A, A14, 'Links for check'!C:C, "LightShip_links")</f>
        <v>0</v>
      </c>
      <c r="E14" s="2">
        <f t="shared" si="0"/>
        <v>422432852.23000002</v>
      </c>
    </row>
    <row r="15" spans="1:5" x14ac:dyDescent="0.25">
      <c r="A15" t="s">
        <v>23</v>
      </c>
      <c r="B15" t="s">
        <v>13</v>
      </c>
      <c r="C15" s="2">
        <f>SUMIFS('Links for check'!D:D, 'Links for check'!A:A, A15, 'Links for check'!C:C, "&lt;&gt;LightShip_links")</f>
        <v>0</v>
      </c>
      <c r="D15" s="2">
        <f>SUMIFS('Links for check'!D:D, 'Links for check'!A:A, A15, 'Links for check'!C:C, "LightShip_links")</f>
        <v>0</v>
      </c>
      <c r="E15" s="2">
        <f t="shared" si="0"/>
        <v>0</v>
      </c>
    </row>
    <row r="16" spans="1:5" x14ac:dyDescent="0.25">
      <c r="A16" t="s">
        <v>24</v>
      </c>
      <c r="B16" t="s">
        <v>13</v>
      </c>
      <c r="C16" s="2">
        <f>SUMIFS('Links for check'!D:D, 'Links for check'!A:A, A16, 'Links for check'!C:C, "&lt;&gt;LightShip_links")</f>
        <v>343014715.87</v>
      </c>
      <c r="D16" s="2">
        <f>SUMIFS('Links for check'!D:D, 'Links for check'!A:A, A16, 'Links for check'!C:C, "LightShip_links")</f>
        <v>0</v>
      </c>
      <c r="E16" s="2">
        <f t="shared" si="0"/>
        <v>343014715.87</v>
      </c>
    </row>
    <row r="17" spans="1:11" x14ac:dyDescent="0.25">
      <c r="A17" t="s">
        <v>25</v>
      </c>
      <c r="B17" t="s">
        <v>13</v>
      </c>
      <c r="C17" s="2">
        <f>SUMIFS('Links for check'!D:D, 'Links for check'!A:A, A17, 'Links for check'!C:C, "&lt;&gt;LightShip_links")</f>
        <v>-151237280.59999999</v>
      </c>
      <c r="D17" s="2">
        <f>SUMIFS('Links for check'!D:D, 'Links for check'!A:A, A17, 'Links for check'!C:C, "LightShip_links")</f>
        <v>0</v>
      </c>
      <c r="E17" s="2">
        <f t="shared" si="0"/>
        <v>-151237280.59999999</v>
      </c>
      <c r="K17">
        <v>10368890879.68</v>
      </c>
    </row>
    <row r="18" spans="1:11" x14ac:dyDescent="0.25">
      <c r="A18" t="s">
        <v>26</v>
      </c>
      <c r="B18" t="s">
        <v>13</v>
      </c>
      <c r="C18" s="2">
        <f>SUMIFS('Links for check'!D:D, 'Links for check'!A:A, A18, 'Links for check'!C:C, "&lt;&gt;LightShip_links")</f>
        <v>701475098.49000001</v>
      </c>
      <c r="D18" s="2">
        <f>SUMIFS('Links for check'!D:D, 'Links for check'!A:A, A18, 'Links for check'!C:C, "LightShip_links")</f>
        <v>0</v>
      </c>
      <c r="E18" s="2">
        <f t="shared" si="0"/>
        <v>701475098.49000001</v>
      </c>
    </row>
    <row r="19" spans="1:11" x14ac:dyDescent="0.25">
      <c r="A19" t="s">
        <v>27</v>
      </c>
      <c r="B19" t="s">
        <v>13</v>
      </c>
      <c r="C19" s="2">
        <f>SUMIFS('Links for check'!D:D, 'Links for check'!A:A, A19, 'Links for check'!C:C, "&lt;&gt;LightShip_links")</f>
        <v>0</v>
      </c>
      <c r="D19" s="2">
        <f>SUMIFS('Links for check'!D:D, 'Links for check'!A:A, A19, 'Links for check'!C:C, "LightShip_links")</f>
        <v>78425160.780000001</v>
      </c>
      <c r="E19" s="2">
        <f t="shared" si="0"/>
        <v>78425160.780000001</v>
      </c>
    </row>
    <row r="20" spans="1:11" x14ac:dyDescent="0.25">
      <c r="A20" t="s">
        <v>28</v>
      </c>
      <c r="B20" t="s">
        <v>13</v>
      </c>
      <c r="C20" s="2">
        <f>SUMIFS('Links for check'!D:D, 'Links for check'!A:A, A20, 'Links for check'!C:C, "&lt;&gt;LightShip_links")</f>
        <v>139276990.77000001</v>
      </c>
      <c r="D20" s="2">
        <f>SUMIFS('Links for check'!D:D, 'Links for check'!A:A, A20, 'Links for check'!C:C, "LightShip_links")</f>
        <v>0</v>
      </c>
      <c r="E20" s="2">
        <f t="shared" si="0"/>
        <v>139276990.77000001</v>
      </c>
    </row>
    <row r="21" spans="1:11" x14ac:dyDescent="0.25">
      <c r="A21" t="s">
        <v>29</v>
      </c>
      <c r="B21" t="s">
        <v>13</v>
      </c>
      <c r="C21" s="2">
        <f>SUMIFS('Links for check'!D:D, 'Links for check'!A:A, A21, 'Links for check'!C:C, "&lt;&gt;LightShip_links")</f>
        <v>138534400.49000001</v>
      </c>
      <c r="D21" s="2">
        <f>SUMIFS('Links for check'!D:D, 'Links for check'!A:A, A21, 'Links for check'!C:C, "LightShip_links")</f>
        <v>0</v>
      </c>
      <c r="E21" s="2">
        <f t="shared" si="0"/>
        <v>138534400.49000001</v>
      </c>
    </row>
    <row r="22" spans="1:11" x14ac:dyDescent="0.25">
      <c r="A22" t="s">
        <v>30</v>
      </c>
      <c r="B22" t="s">
        <v>13</v>
      </c>
      <c r="C22" s="2">
        <f>SUMIFS('Links for check'!D:D, 'Links for check'!A:A, A22, 'Links for check'!C:C, "&lt;&gt;LightShip_links")</f>
        <v>0</v>
      </c>
      <c r="D22" s="2">
        <f>SUMIFS('Links for check'!D:D, 'Links for check'!A:A, A22, 'Links for check'!C:C, "LightShip_links")</f>
        <v>0</v>
      </c>
      <c r="E22" s="2">
        <f t="shared" si="0"/>
        <v>0</v>
      </c>
    </row>
    <row r="23" spans="1:11" x14ac:dyDescent="0.25">
      <c r="A23" t="s">
        <v>31</v>
      </c>
      <c r="B23" t="s">
        <v>13</v>
      </c>
      <c r="C23" s="2">
        <f>SUMIFS('Links for check'!D:D, 'Links for check'!A:A, A23, 'Links for check'!C:C, "&lt;&gt;LightShip_links")</f>
        <v>138459133.30000001</v>
      </c>
      <c r="D23" s="2">
        <f>SUMIFS('Links for check'!D:D, 'Links for check'!A:A, A23, 'Links for check'!C:C, "LightShip_links")</f>
        <v>0</v>
      </c>
      <c r="E23" s="2">
        <f t="shared" si="0"/>
        <v>138459133.30000001</v>
      </c>
    </row>
    <row r="24" spans="1:11" x14ac:dyDescent="0.25">
      <c r="A24" t="s">
        <v>32</v>
      </c>
      <c r="B24" t="s">
        <v>13</v>
      </c>
      <c r="C24" s="2">
        <f>SUMIFS('Links for check'!D:D, 'Links for check'!A:A, A24, 'Links for check'!C:C, "&lt;&gt;LightShip_links")</f>
        <v>703325610.93999994</v>
      </c>
      <c r="D24" s="2">
        <f>SUMIFS('Links for check'!D:D, 'Links for check'!A:A, A24, 'Links for check'!C:C, "LightShip_links")</f>
        <v>0</v>
      </c>
      <c r="E24" s="2">
        <f t="shared" si="0"/>
        <v>703325610.93999994</v>
      </c>
    </row>
    <row r="25" spans="1:11" x14ac:dyDescent="0.25">
      <c r="A25" t="s">
        <v>33</v>
      </c>
      <c r="B25" t="s">
        <v>13</v>
      </c>
      <c r="C25" s="2">
        <f>SUMIFS('Links for check'!D:D, 'Links for check'!A:A, A25, 'Links for check'!C:C, "&lt;&gt;LightShip_links")</f>
        <v>420147969.05999994</v>
      </c>
      <c r="D25" s="2">
        <f>SUMIFS('Links for check'!D:D, 'Links for check'!A:A, A25, 'Links for check'!C:C, "LightShip_links")</f>
        <v>0</v>
      </c>
      <c r="E25" s="2">
        <f t="shared" si="0"/>
        <v>420147969.05999994</v>
      </c>
    </row>
    <row r="26" spans="1:11" x14ac:dyDescent="0.25">
      <c r="A26" t="s">
        <v>34</v>
      </c>
      <c r="B26" t="s">
        <v>13</v>
      </c>
      <c r="C26" s="2">
        <f>SUMIFS('Links for check'!D:D, 'Links for check'!A:A, A26, 'Links for check'!C:C, "&lt;&gt;LightShip_links")</f>
        <v>346654918.89999998</v>
      </c>
      <c r="D26" s="2">
        <f>SUMIFS('Links for check'!D:D, 'Links for check'!A:A, A26, 'Links for check'!C:C, "LightShip_links")</f>
        <v>0</v>
      </c>
      <c r="E26" s="2">
        <f t="shared" si="0"/>
        <v>346654918.89999998</v>
      </c>
    </row>
    <row r="27" spans="1:11" x14ac:dyDescent="0.25">
      <c r="A27" t="s">
        <v>35</v>
      </c>
      <c r="B27" t="s">
        <v>13</v>
      </c>
      <c r="C27" s="2">
        <f>SUMIFS('Links for check'!D:D, 'Links for check'!A:A, A27, 'Links for check'!C:C, "&lt;&gt;LightShip_links")</f>
        <v>401871819.13999999</v>
      </c>
      <c r="D27" s="2">
        <f>SUMIFS('Links for check'!D:D, 'Links for check'!A:A, A27, 'Links for check'!C:C, "LightShip_links")</f>
        <v>0</v>
      </c>
      <c r="E27" s="2">
        <f t="shared" si="0"/>
        <v>401871819.13999999</v>
      </c>
    </row>
    <row r="28" spans="1:11" x14ac:dyDescent="0.25">
      <c r="A28" t="s">
        <v>36</v>
      </c>
      <c r="B28" t="s">
        <v>13</v>
      </c>
      <c r="C28" s="2">
        <f>SUMIFS('Links for check'!D:D, 'Links for check'!A:A, A28, 'Links for check'!C:C, "&lt;&gt;LightShip_links")</f>
        <v>312232222.72000003</v>
      </c>
      <c r="D28" s="2">
        <f>SUMIFS('Links for check'!D:D, 'Links for check'!A:A, A28, 'Links for check'!C:C, "LightShip_links")</f>
        <v>0</v>
      </c>
      <c r="E28" s="2">
        <f t="shared" si="0"/>
        <v>312232222.72000003</v>
      </c>
    </row>
    <row r="29" spans="1:11" x14ac:dyDescent="0.25">
      <c r="A29" t="s">
        <v>37</v>
      </c>
      <c r="B29" t="s">
        <v>13</v>
      </c>
      <c r="C29" s="2">
        <f>SUMIFS('Links for check'!D:D, 'Links for check'!A:A, A29, 'Links for check'!C:C, "&lt;&gt;LightShip_links")</f>
        <v>573795210.20000005</v>
      </c>
      <c r="D29" s="2">
        <f>SUMIFS('Links for check'!D:D, 'Links for check'!A:A, A29, 'Links for check'!C:C, "LightShip_links")</f>
        <v>0</v>
      </c>
      <c r="E29" s="2">
        <f t="shared" si="0"/>
        <v>573795210.20000005</v>
      </c>
    </row>
    <row r="30" spans="1:11" x14ac:dyDescent="0.25">
      <c r="A30" t="s">
        <v>38</v>
      </c>
      <c r="B30" t="s">
        <v>13</v>
      </c>
      <c r="C30" s="2">
        <f>SUMIFS('Links for check'!D:D, 'Links for check'!A:A, A30, 'Links for check'!C:C, "&lt;&gt;LightShip_links")</f>
        <v>415470703.74000001</v>
      </c>
      <c r="D30" s="2">
        <f>SUMIFS('Links for check'!D:D, 'Links for check'!A:A, A30, 'Links for check'!C:C, "LightShip_links")</f>
        <v>0</v>
      </c>
      <c r="E30" s="2">
        <f t="shared" si="0"/>
        <v>415470703.74000001</v>
      </c>
    </row>
    <row r="31" spans="1:11" x14ac:dyDescent="0.25">
      <c r="A31" t="s">
        <v>39</v>
      </c>
      <c r="B31" t="s">
        <v>40</v>
      </c>
      <c r="C31" s="2">
        <f>SUMIFS('Links for check'!D:D, 'Links for check'!A:A, A31, 'Links for check'!C:C, "&lt;&gt;LightShip_links")</f>
        <v>731419075.77999997</v>
      </c>
      <c r="D31" s="2">
        <f>SUMIFS('Links for check'!D:D, 'Links for check'!A:A, A31, 'Links for check'!C:C, "LightShip_links")</f>
        <v>0</v>
      </c>
      <c r="E31" s="2">
        <f t="shared" si="0"/>
        <v>731419075.77999997</v>
      </c>
    </row>
    <row r="32" spans="1:11" x14ac:dyDescent="0.25">
      <c r="A32" t="s">
        <v>41</v>
      </c>
      <c r="B32" t="s">
        <v>40</v>
      </c>
      <c r="C32" s="2">
        <f>SUMIFS('Links for check'!D:D, 'Links for check'!A:A, A32, 'Links for check'!C:C, "&lt;&gt;LightShip_links")</f>
        <v>138708863.50999999</v>
      </c>
      <c r="D32" s="2">
        <f>SUMIFS('Links for check'!D:D, 'Links for check'!A:A, A32, 'Links for check'!C:C, "LightShip_links")</f>
        <v>0</v>
      </c>
      <c r="E32" s="2">
        <f t="shared" si="0"/>
        <v>138708863.50999999</v>
      </c>
    </row>
    <row r="33" spans="1:5" x14ac:dyDescent="0.25">
      <c r="A33" t="s">
        <v>42</v>
      </c>
      <c r="B33" t="s">
        <v>40</v>
      </c>
      <c r="C33" s="2">
        <f>SUMIFS('Links for check'!D:D, 'Links for check'!A:A, A33, 'Links for check'!C:C, "&lt;&gt;LightShip_links")</f>
        <v>289044971.16000003</v>
      </c>
      <c r="D33" s="2">
        <f>SUMIFS('Links for check'!D:D, 'Links for check'!A:A, A33, 'Links for check'!C:C, "LightShip_links")</f>
        <v>0</v>
      </c>
      <c r="E33" s="2">
        <f t="shared" si="0"/>
        <v>289044971.16000003</v>
      </c>
    </row>
    <row r="34" spans="1:5" x14ac:dyDescent="0.25">
      <c r="A34" t="s">
        <v>43</v>
      </c>
      <c r="B34" t="s">
        <v>40</v>
      </c>
      <c r="C34" s="2">
        <f>SUMIFS('Links for check'!D:D, 'Links for check'!A:A, A34, 'Links for check'!C:C, "&lt;&gt;LightShip_links")</f>
        <v>931813726.38</v>
      </c>
      <c r="D34" s="2">
        <f>SUMIFS('Links for check'!D:D, 'Links for check'!A:A, A34, 'Links for check'!C:C, "LightShip_links")</f>
        <v>0</v>
      </c>
      <c r="E34" s="2">
        <f t="shared" si="0"/>
        <v>931813726.38</v>
      </c>
    </row>
    <row r="35" spans="1:5" x14ac:dyDescent="0.25">
      <c r="A35" t="s">
        <v>44</v>
      </c>
      <c r="B35" t="s">
        <v>40</v>
      </c>
      <c r="C35" s="2">
        <f>SUMIFS('Links for check'!D:D, 'Links for check'!A:A, A35, 'Links for check'!C:C, "&lt;&gt;LightShip_links")</f>
        <v>282623062.96000004</v>
      </c>
      <c r="D35" s="2">
        <f>SUMIFS('Links for check'!D:D, 'Links for check'!A:A, A35, 'Links for check'!C:C, "LightShip_links")</f>
        <v>0</v>
      </c>
      <c r="E35" s="2">
        <f t="shared" si="0"/>
        <v>282623062.96000004</v>
      </c>
    </row>
    <row r="36" spans="1:5" x14ac:dyDescent="0.25">
      <c r="A36" t="s">
        <v>45</v>
      </c>
      <c r="B36" t="s">
        <v>40</v>
      </c>
      <c r="C36" s="2">
        <f>SUMIFS('Links for check'!D:D, 'Links for check'!A:A, A36, 'Links for check'!C:C, "&lt;&gt;LightShip_links")</f>
        <v>140407840.56999999</v>
      </c>
      <c r="D36" s="2">
        <f>SUMIFS('Links for check'!D:D, 'Links for check'!A:A, A36, 'Links for check'!C:C, "LightShip_links")</f>
        <v>0</v>
      </c>
      <c r="E36" s="2">
        <f t="shared" si="0"/>
        <v>140407840.56999999</v>
      </c>
    </row>
    <row r="37" spans="1:5" x14ac:dyDescent="0.25">
      <c r="A37" t="s">
        <v>46</v>
      </c>
      <c r="B37" t="s">
        <v>40</v>
      </c>
      <c r="C37" s="2">
        <f>SUMIFS('Links for check'!D:D, 'Links for check'!A:A, A37, 'Links for check'!C:C, "&lt;&gt;LightShip_links")</f>
        <v>277071191.19999999</v>
      </c>
      <c r="D37" s="2">
        <f>SUMIFS('Links for check'!D:D, 'Links for check'!A:A, A37, 'Links for check'!C:C, "LightShip_links")</f>
        <v>0</v>
      </c>
      <c r="E37" s="2">
        <f t="shared" si="0"/>
        <v>277071191.19999999</v>
      </c>
    </row>
    <row r="38" spans="1:5" x14ac:dyDescent="0.25">
      <c r="B38" s="3" t="s">
        <v>199</v>
      </c>
      <c r="C38" s="5">
        <f>SUM(C2:C37)</f>
        <v>10368890879.68</v>
      </c>
      <c r="D38" s="5">
        <f>SUM(D2:D37)</f>
        <v>126870265.53999999</v>
      </c>
      <c r="E38" s="5">
        <f>SUM(E2:E37)</f>
        <v>10495761145.219997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Main</vt:lpstr>
      <vt:lpstr>Links for check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Шутов</cp:lastModifiedBy>
  <dcterms:created xsi:type="dcterms:W3CDTF">2025-06-25T21:31:13Z</dcterms:created>
  <dcterms:modified xsi:type="dcterms:W3CDTF">2025-06-25T21:48:52Z</dcterms:modified>
</cp:coreProperties>
</file>
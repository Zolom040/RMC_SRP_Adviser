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ЭтаКнига"/>
  <mc:AlternateContent xmlns:mc="http://schemas.openxmlformats.org/markup-compatibility/2006">
    <mc:Choice Requires="x15">
      <x15ac:absPath xmlns:x15ac="http://schemas.microsoft.com/office/spreadsheetml/2010/11/ac" url="F:\Repositorium\RMC_SRP_Adviser\RMC_SRP_Adviser\"/>
    </mc:Choice>
  </mc:AlternateContent>
  <xr:revisionPtr revIDLastSave="0" documentId="13_ncr:1_{2FE4BE96-C7A9-4821-8314-3D8E6EFB6B74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Main" sheetId="1" r:id="rId1"/>
    <sheet name="Links for check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0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2" i="3"/>
  <c r="D69" i="3"/>
  <c r="C69" i="3"/>
  <c r="D68" i="3"/>
  <c r="C68" i="3"/>
  <c r="D67" i="3"/>
  <c r="C67" i="3"/>
  <c r="D66" i="3"/>
  <c r="C66" i="3"/>
  <c r="D65" i="3"/>
  <c r="C65" i="3"/>
  <c r="D64" i="3"/>
  <c r="C64" i="3"/>
  <c r="D63" i="3"/>
  <c r="C63" i="3"/>
  <c r="D62" i="3"/>
  <c r="C62" i="3"/>
  <c r="D61" i="3"/>
  <c r="C61" i="3"/>
  <c r="D60" i="3"/>
  <c r="C60" i="3"/>
  <c r="D59" i="3"/>
  <c r="C59" i="3"/>
  <c r="D58" i="3"/>
  <c r="C58" i="3"/>
  <c r="D57" i="3"/>
  <c r="C57" i="3"/>
  <c r="D56" i="3"/>
  <c r="C56" i="3"/>
  <c r="D55" i="3"/>
  <c r="C55" i="3"/>
  <c r="D54" i="3"/>
  <c r="C54" i="3"/>
  <c r="D53" i="3"/>
  <c r="C53" i="3"/>
  <c r="D52" i="3"/>
  <c r="C52" i="3"/>
  <c r="D51" i="3"/>
  <c r="C51" i="3"/>
  <c r="D50" i="3"/>
  <c r="C50" i="3"/>
  <c r="D49" i="3"/>
  <c r="C49" i="3"/>
  <c r="D48" i="3"/>
  <c r="C48" i="3"/>
  <c r="D47" i="3"/>
  <c r="C47" i="3"/>
  <c r="D46" i="3"/>
  <c r="C46" i="3"/>
  <c r="D45" i="3"/>
  <c r="C45" i="3"/>
  <c r="D44" i="3"/>
  <c r="C44" i="3"/>
  <c r="D43" i="3"/>
  <c r="C43" i="3"/>
  <c r="D42" i="3"/>
  <c r="C42" i="3"/>
  <c r="D41" i="3"/>
  <c r="C41" i="3"/>
  <c r="D40" i="3"/>
  <c r="C40" i="3"/>
  <c r="D39" i="3"/>
  <c r="C39" i="3"/>
  <c r="D38" i="3"/>
  <c r="C38" i="3"/>
  <c r="D37" i="3"/>
  <c r="C37" i="3"/>
  <c r="D36" i="3"/>
  <c r="C36" i="3"/>
  <c r="D35" i="3"/>
  <c r="C35" i="3"/>
  <c r="D34" i="3"/>
  <c r="C34" i="3"/>
  <c r="D33" i="3"/>
  <c r="C33" i="3"/>
  <c r="D32" i="3"/>
  <c r="C32" i="3"/>
  <c r="D31" i="3"/>
  <c r="C31" i="3"/>
  <c r="D30" i="3"/>
  <c r="C30" i="3"/>
  <c r="D29" i="3"/>
  <c r="C29" i="3"/>
  <c r="D28" i="3"/>
  <c r="C28" i="3"/>
  <c r="D27" i="3"/>
  <c r="C27" i="3"/>
  <c r="D26" i="3"/>
  <c r="C26" i="3"/>
  <c r="D25" i="3"/>
  <c r="C25" i="3"/>
  <c r="D24" i="3"/>
  <c r="C24" i="3"/>
  <c r="D23" i="3"/>
  <c r="C23" i="3"/>
  <c r="D22" i="3"/>
  <c r="C22" i="3"/>
  <c r="D21" i="3"/>
  <c r="C21" i="3"/>
  <c r="D20" i="3"/>
  <c r="C20" i="3"/>
  <c r="D19" i="3"/>
  <c r="C19" i="3"/>
  <c r="D18" i="3"/>
  <c r="C18" i="3"/>
  <c r="D17" i="3"/>
  <c r="C17" i="3"/>
  <c r="D16" i="3"/>
  <c r="C16" i="3"/>
  <c r="D15" i="3"/>
  <c r="C15" i="3"/>
  <c r="D14" i="3"/>
  <c r="C14" i="3"/>
  <c r="D13" i="3"/>
  <c r="C13" i="3"/>
  <c r="D12" i="3"/>
  <c r="C12" i="3"/>
  <c r="D11" i="3"/>
  <c r="C11" i="3"/>
  <c r="D10" i="3"/>
  <c r="C10" i="3"/>
  <c r="D9" i="3"/>
  <c r="C9" i="3"/>
  <c r="D8" i="3"/>
  <c r="C8" i="3"/>
  <c r="D7" i="3"/>
  <c r="C7" i="3"/>
  <c r="D6" i="3"/>
  <c r="C6" i="3"/>
  <c r="D5" i="3"/>
  <c r="C5" i="3"/>
  <c r="D4" i="3"/>
  <c r="C4" i="3"/>
  <c r="D3" i="3"/>
  <c r="C3" i="3"/>
  <c r="D2" i="3"/>
  <c r="C2" i="3"/>
  <c r="E14" i="3" l="1"/>
  <c r="D14" i="1" s="1"/>
  <c r="E30" i="3"/>
  <c r="D30" i="1" s="1"/>
  <c r="E46" i="3"/>
  <c r="D46" i="1" s="1"/>
  <c r="E62" i="3"/>
  <c r="D62" i="1" s="1"/>
  <c r="E69" i="3"/>
  <c r="D69" i="1" s="1"/>
  <c r="E64" i="3"/>
  <c r="D64" i="1" s="1"/>
  <c r="E17" i="3"/>
  <c r="D17" i="1" s="1"/>
  <c r="E33" i="3"/>
  <c r="D33" i="1" s="1"/>
  <c r="E49" i="3"/>
  <c r="D49" i="1" s="1"/>
  <c r="E10" i="3"/>
  <c r="D10" i="1" s="1"/>
  <c r="E18" i="3"/>
  <c r="D18" i="1" s="1"/>
  <c r="E26" i="3"/>
  <c r="D26" i="1" s="1"/>
  <c r="E50" i="3"/>
  <c r="D50" i="1" s="1"/>
  <c r="E58" i="3"/>
  <c r="D58" i="1" s="1"/>
  <c r="E3" i="3"/>
  <c r="D3" i="1" s="1"/>
  <c r="E11" i="3"/>
  <c r="D11" i="1" s="1"/>
  <c r="E67" i="3"/>
  <c r="D67" i="1" s="1"/>
  <c r="E20" i="3"/>
  <c r="D20" i="1" s="1"/>
  <c r="E36" i="3"/>
  <c r="D36" i="1" s="1"/>
  <c r="E52" i="3"/>
  <c r="D52" i="1" s="1"/>
  <c r="E68" i="3"/>
  <c r="D68" i="1" s="1"/>
  <c r="E5" i="3"/>
  <c r="D5" i="1" s="1"/>
  <c r="E13" i="3"/>
  <c r="D13" i="1" s="1"/>
  <c r="E21" i="3"/>
  <c r="D21" i="1" s="1"/>
  <c r="E29" i="3"/>
  <c r="D29" i="1" s="1"/>
  <c r="E45" i="3"/>
  <c r="D45" i="1" s="1"/>
  <c r="E53" i="3"/>
  <c r="D53" i="1" s="1"/>
  <c r="E61" i="3"/>
  <c r="D61" i="1" s="1"/>
  <c r="E12" i="3"/>
  <c r="D12" i="1" s="1"/>
  <c r="E22" i="3"/>
  <c r="D22" i="1" s="1"/>
  <c r="E38" i="3"/>
  <c r="D38" i="1" s="1"/>
  <c r="E54" i="3"/>
  <c r="D54" i="1" s="1"/>
  <c r="E6" i="3"/>
  <c r="D6" i="1" s="1"/>
  <c r="E7" i="3"/>
  <c r="D7" i="1" s="1"/>
  <c r="E23" i="3"/>
  <c r="D23" i="1" s="1"/>
  <c r="E39" i="3"/>
  <c r="D39" i="1" s="1"/>
  <c r="E47" i="3"/>
  <c r="D47" i="1" s="1"/>
  <c r="E55" i="3"/>
  <c r="D55" i="1" s="1"/>
  <c r="E63" i="3"/>
  <c r="D63" i="1" s="1"/>
  <c r="E24" i="3"/>
  <c r="D24" i="1" s="1"/>
  <c r="E65" i="3"/>
  <c r="D65" i="1" s="1"/>
  <c r="E9" i="3"/>
  <c r="D9" i="1" s="1"/>
  <c r="E41" i="3"/>
  <c r="D41" i="1" s="1"/>
  <c r="C70" i="3"/>
  <c r="E25" i="3"/>
  <c r="D25" i="1" s="1"/>
  <c r="E4" i="3"/>
  <c r="D4" i="1" s="1"/>
  <c r="E48" i="3"/>
  <c r="D48" i="1" s="1"/>
  <c r="E19" i="3"/>
  <c r="D19" i="1" s="1"/>
  <c r="E27" i="3"/>
  <c r="D27" i="1" s="1"/>
  <c r="E34" i="3"/>
  <c r="D34" i="1" s="1"/>
  <c r="E42" i="3"/>
  <c r="D42" i="1" s="1"/>
  <c r="E56" i="3"/>
  <c r="D56" i="1" s="1"/>
  <c r="E40" i="3"/>
  <c r="D40" i="1" s="1"/>
  <c r="E28" i="3"/>
  <c r="D28" i="1" s="1"/>
  <c r="E35" i="3"/>
  <c r="D35" i="1" s="1"/>
  <c r="E43" i="3"/>
  <c r="D43" i="1" s="1"/>
  <c r="E57" i="3"/>
  <c r="D57" i="1" s="1"/>
  <c r="E44" i="3"/>
  <c r="D44" i="1" s="1"/>
  <c r="E51" i="3"/>
  <c r="D51" i="1" s="1"/>
  <c r="E59" i="3"/>
  <c r="D59" i="1" s="1"/>
  <c r="E66" i="3"/>
  <c r="D66" i="1" s="1"/>
  <c r="E15" i="3"/>
  <c r="D15" i="1" s="1"/>
  <c r="E37" i="3"/>
  <c r="D37" i="1" s="1"/>
  <c r="E8" i="3"/>
  <c r="D8" i="1" s="1"/>
  <c r="E16" i="3"/>
  <c r="D16" i="1" s="1"/>
  <c r="E60" i="3"/>
  <c r="D60" i="1" s="1"/>
  <c r="E31" i="3"/>
  <c r="D31" i="1" s="1"/>
  <c r="D70" i="3"/>
  <c r="E32" i="3"/>
  <c r="D32" i="1" s="1"/>
  <c r="E2" i="3"/>
  <c r="E70" i="3" l="1"/>
  <c r="D2" i="1"/>
</calcChain>
</file>

<file path=xl/sharedStrings.xml><?xml version="1.0" encoding="utf-8"?>
<sst xmlns="http://schemas.openxmlformats.org/spreadsheetml/2006/main" count="1052" uniqueCount="373">
  <si>
    <t>ID</t>
  </si>
  <si>
    <t>Name</t>
  </si>
  <si>
    <t>Aliance</t>
  </si>
  <si>
    <t>total_cost</t>
  </si>
  <si>
    <t>natur_compens_ids</t>
  </si>
  <si>
    <t>Argtoor</t>
  </si>
  <si>
    <t>-GFC-</t>
  </si>
  <si>
    <t>[]</t>
  </si>
  <si>
    <t>Cim Pain</t>
  </si>
  <si>
    <t>Clon Solder</t>
  </si>
  <si>
    <t>Klark Valor</t>
  </si>
  <si>
    <t>Vasiliy Tochilkin</t>
  </si>
  <si>
    <t>Gizikk</t>
  </si>
  <si>
    <t>2LATE</t>
  </si>
  <si>
    <t>Juklopo</t>
  </si>
  <si>
    <t>Skufidon Ivanovich</t>
  </si>
  <si>
    <t>Solty Moby</t>
  </si>
  <si>
    <t>Tysh0nka</t>
  </si>
  <si>
    <t>['17736']</t>
  </si>
  <si>
    <t>Alaneshi Yotosala</t>
  </si>
  <si>
    <t>RED</t>
  </si>
  <si>
    <t>AnatanD Airin</t>
  </si>
  <si>
    <t>AraJIu0penT</t>
  </si>
  <si>
    <t>Bender Rodrieguez</t>
  </si>
  <si>
    <t>BongoCat Spanking</t>
  </si>
  <si>
    <t>Bulldozaur77</t>
  </si>
  <si>
    <t>BulldozaurZ02</t>
  </si>
  <si>
    <t>ByDiDinDiy</t>
  </si>
  <si>
    <t>Camilla Mayer</t>
  </si>
  <si>
    <t>DenSL666</t>
  </si>
  <si>
    <t>Dog Biteovich</t>
  </si>
  <si>
    <t>FX-8320E</t>
  </si>
  <si>
    <t>JimmyS</t>
  </si>
  <si>
    <t>Joy Ups</t>
  </si>
  <si>
    <t>Juum Kaash</t>
  </si>
  <si>
    <t>Kamashtli</t>
  </si>
  <si>
    <t>Ktoto101</t>
  </si>
  <si>
    <t>Leonid Costa</t>
  </si>
  <si>
    <t>Marat Goodman</t>
  </si>
  <si>
    <t>Pek Vadrya</t>
  </si>
  <si>
    <t>Quasari Mio</t>
  </si>
  <si>
    <t>R0NlN BIA</t>
  </si>
  <si>
    <t>SKIF MP</t>
  </si>
  <si>
    <t>SemenB</t>
  </si>
  <si>
    <t>SviatoyAdidasiy</t>
  </si>
  <si>
    <t>The RED Torchbearer</t>
  </si>
  <si>
    <t>TritaniuS</t>
  </si>
  <si>
    <t>Valkyrie 200</t>
  </si>
  <si>
    <t>Vasim Vio</t>
  </si>
  <si>
    <t>alexpererva2022</t>
  </si>
  <si>
    <t>begi kaknikogda</t>
  </si>
  <si>
    <t>gkpoxa</t>
  </si>
  <si>
    <t>he11fireUA</t>
  </si>
  <si>
    <t>murano</t>
  </si>
  <si>
    <t>panksteris</t>
  </si>
  <si>
    <t>pechenka gor'kaya</t>
  </si>
  <si>
    <t>Black Water SS</t>
  </si>
  <si>
    <t>RED-M</t>
  </si>
  <si>
    <t>Andrey1104</t>
  </si>
  <si>
    <t>RUS</t>
  </si>
  <si>
    <t>Dum GAD</t>
  </si>
  <si>
    <t>FreeMan FM</t>
  </si>
  <si>
    <t>Gxit SIl</t>
  </si>
  <si>
    <t>Idite Lesom</t>
  </si>
  <si>
    <t>Kneyzer Star</t>
  </si>
  <si>
    <t>Mia Prima</t>
  </si>
  <si>
    <t>Nervjak</t>
  </si>
  <si>
    <t>Poll Arlan</t>
  </si>
  <si>
    <t>Rast Khamm</t>
  </si>
  <si>
    <t>Sergey Ebolfer Arjar</t>
  </si>
  <si>
    <t>SibDemmon</t>
  </si>
  <si>
    <t>Staryi Dead</t>
  </si>
  <si>
    <t>Strannik KPE</t>
  </si>
  <si>
    <t>SwampLord GnidaIV</t>
  </si>
  <si>
    <t>SwampLord GnidaXIV</t>
  </si>
  <si>
    <t>Temk Kuzin</t>
  </si>
  <si>
    <t>Tition Fordring</t>
  </si>
  <si>
    <t>guinplenn</t>
  </si>
  <si>
    <t>iDespero</t>
  </si>
  <si>
    <t>krab111</t>
  </si>
  <si>
    <t>Link Type</t>
  </si>
  <si>
    <t>Cost</t>
  </si>
  <si>
    <t>ktime</t>
  </si>
  <si>
    <t>Link</t>
  </si>
  <si>
    <t>dps_links</t>
  </si>
  <si>
    <t>2025-03-25T19:29:32Z</t>
  </si>
  <si>
    <t>https://zkillboard.com/kill/125821562/</t>
  </si>
  <si>
    <t>2025-03-01T15:35:36Z</t>
  </si>
  <si>
    <t>https://zkillboard.com/kill/125168153/</t>
  </si>
  <si>
    <t>support_links</t>
  </si>
  <si>
    <t>2025-03-16T16:51:45Z</t>
  </si>
  <si>
    <t>https://zkillboard.com/kill/125573629/</t>
  </si>
  <si>
    <t>2025-03-15T18:26:26Z</t>
  </si>
  <si>
    <t>https://zkillboard.com/kill/125541599/</t>
  </si>
  <si>
    <t>2025-03-04T07:56:23Z</t>
  </si>
  <si>
    <t>https://zkillboard.com/kill/125244067/</t>
  </si>
  <si>
    <t>2025-03-12T20:32:57Z</t>
  </si>
  <si>
    <t>https://zkillboard.com/kill/125458762/</t>
  </si>
  <si>
    <t>2025-03-25T18:56:32Z</t>
  </si>
  <si>
    <t>https://zkillboard.com/kill/125820794/</t>
  </si>
  <si>
    <t>2025-03-01T18:28:33Z</t>
  </si>
  <si>
    <t>https://zkillboard.com/kill/125172605/</t>
  </si>
  <si>
    <t>LightShip_links</t>
  </si>
  <si>
    <t>2025-03-19T18:08:42Z</t>
  </si>
  <si>
    <t>https://zkillboard.com/kill/125650313/</t>
  </si>
  <si>
    <t>2025-03-19T18:00:43Z</t>
  </si>
  <si>
    <t>https://zkillboard.com/kill/125650202/</t>
  </si>
  <si>
    <t>2025-03-25T18:54:11Z</t>
  </si>
  <si>
    <t>https://zkillboard.com/kill/125820737/</t>
  </si>
  <si>
    <t>2025-03-15T18:29:33Z</t>
  </si>
  <si>
    <t>https://zkillboard.com/kill/125541737/</t>
  </si>
  <si>
    <t>2025-03-16T05:20:20Z</t>
  </si>
  <si>
    <t>https://zkillboard.com/kill/125558049/</t>
  </si>
  <si>
    <t>2025-03-01T18:32:03Z</t>
  </si>
  <si>
    <t>https://zkillboard.com/kill/125172727/</t>
  </si>
  <si>
    <t>2025-03-01T18:10:30Z</t>
  </si>
  <si>
    <t>https://zkillboard.com/kill/125172097/</t>
  </si>
  <si>
    <t>valuble_links</t>
  </si>
  <si>
    <t>2025-03-18T19:22:32Z</t>
  </si>
  <si>
    <t>https://zkillboard.com/kill/125627903/</t>
  </si>
  <si>
    <t>2025-03-15T17:36:20Z</t>
  </si>
  <si>
    <t>https://zkillboard.com/kill/125540232/</t>
  </si>
  <si>
    <t>2025-03-06T19:03:15Z</t>
  </si>
  <si>
    <t>https://zkillboard.com/kill/125301047/</t>
  </si>
  <si>
    <t>2025-03-01T18:30:37Z</t>
  </si>
  <si>
    <t>https://zkillboard.com/kill/125172670/</t>
  </si>
  <si>
    <t>tackle_links</t>
  </si>
  <si>
    <t>2025-03-15T18:24:27Z</t>
  </si>
  <si>
    <t>https://zkillboard.com/kill/125541542/</t>
  </si>
  <si>
    <t>2025-03-01T18:15:14Z</t>
  </si>
  <si>
    <t>https://zkillboard.com/kill/125172236/</t>
  </si>
  <si>
    <t>2025-03-25T19:39:12Z</t>
  </si>
  <si>
    <t>https://zkillboard.com/kill/125821815/</t>
  </si>
  <si>
    <t>2025-03-18T18:56:36Z</t>
  </si>
  <si>
    <t>https://zkillboard.com/kill/125626788/</t>
  </si>
  <si>
    <t>2025-03-25T19:25:55Z</t>
  </si>
  <si>
    <t>https://zkillboard.com/kill/125821484/</t>
  </si>
  <si>
    <t>2025-03-25T18:52:37Z</t>
  </si>
  <si>
    <t>https://zkillboard.com/kill/125820708/</t>
  </si>
  <si>
    <t>2025-03-15T18:26:52Z</t>
  </si>
  <si>
    <t>https://zkillboard.com/kill/125541610/</t>
  </si>
  <si>
    <t>2025-03-30T20:06:14Z</t>
  </si>
  <si>
    <t>https://zkillboard.com/kill/125957223/</t>
  </si>
  <si>
    <t>2025-03-30T20:09:19Z</t>
  </si>
  <si>
    <t>https://zkillboard.com/kill/125957309/</t>
  </si>
  <si>
    <t>2025-03-14T06:39:22Z</t>
  </si>
  <si>
    <t>https://zkillboard.com/kill/125494907/</t>
  </si>
  <si>
    <t>2025-03-15T18:28:24Z</t>
  </si>
  <si>
    <t>https://zkillboard.com/kill/125541682/</t>
  </si>
  <si>
    <t>2025-03-15T17:08:19Z</t>
  </si>
  <si>
    <t>https://zkillboard.com/kill/125539191/</t>
  </si>
  <si>
    <t>2025-03-15T17:20:54Z</t>
  </si>
  <si>
    <t>https://zkillboard.com/kill/125539703/</t>
  </si>
  <si>
    <t>2025-03-13T17:17:24Z</t>
  </si>
  <si>
    <t>https://zkillboard.com/kill/125478639/</t>
  </si>
  <si>
    <t>2025-03-01T18:09:23Z</t>
  </si>
  <si>
    <t>https://zkillboard.com/kill/125172071/</t>
  </si>
  <si>
    <t>2025-03-01T18:27:23Z</t>
  </si>
  <si>
    <t>https://zkillboard.com/kill/125172566/</t>
  </si>
  <si>
    <t>2025-03-25T19:30:03Z</t>
  </si>
  <si>
    <t>https://zkillboard.com/kill/125821588/</t>
  </si>
  <si>
    <t>2025-03-16T05:18:26Z</t>
  </si>
  <si>
    <t>https://zkillboard.com/kill/125558015/</t>
  </si>
  <si>
    <t>2025-03-04T18:38:17Z</t>
  </si>
  <si>
    <t>https://zkillboard.com/kill/125253809/</t>
  </si>
  <si>
    <t>2025-03-01T18:24:34Z</t>
  </si>
  <si>
    <t>https://zkillboard.com/kill/125172496/</t>
  </si>
  <si>
    <t>2025-03-28T15:56:16Z</t>
  </si>
  <si>
    <t>https://zkillboard.com/kill/125885301/</t>
  </si>
  <si>
    <t>2025-03-14T06:25:49Z</t>
  </si>
  <si>
    <t>https://zkillboard.com/kill/125494616/</t>
  </si>
  <si>
    <t>2025-03-15T18:27:06Z</t>
  </si>
  <si>
    <t>https://zkillboard.com/kill/125541620/</t>
  </si>
  <si>
    <t>2025-03-06T19:05:32Z</t>
  </si>
  <si>
    <t>https://zkillboard.com/kill/125301124/</t>
  </si>
  <si>
    <t>2025-03-01T18:11:05Z</t>
  </si>
  <si>
    <t>https://zkillboard.com/kill/125172111/</t>
  </si>
  <si>
    <t>2025-03-25T18:59:59Z</t>
  </si>
  <si>
    <t>https://zkillboard.com/kill/125820876/</t>
  </si>
  <si>
    <t>2025-03-23T00:33:46Z</t>
  </si>
  <si>
    <t>https://zkillboard.com/kill/125740493/</t>
  </si>
  <si>
    <t>2025-03-23T20:33:04Z</t>
  </si>
  <si>
    <t>https://zkillboard.com/kill/125771079/</t>
  </si>
  <si>
    <t>2025-03-23T06:29:08Z</t>
  </si>
  <si>
    <t>https://zkillboard.com/kill/125747347/</t>
  </si>
  <si>
    <t>2025-03-01T18:36:03Z</t>
  </si>
  <si>
    <t>https://zkillboard.com/kill/125172899/</t>
  </si>
  <si>
    <t>2025-03-01T18:08:25Z</t>
  </si>
  <si>
    <t>https://zkillboard.com/kill/125172051/</t>
  </si>
  <si>
    <t>2025-03-01T18:24:02Z</t>
  </si>
  <si>
    <t>https://zkillboard.com/kill/125172477/</t>
  </si>
  <si>
    <t>2025-03-15T18:30:05Z</t>
  </si>
  <si>
    <t>https://zkillboard.com/kill/125541753/</t>
  </si>
  <si>
    <t>2025-03-23T05:42:05Z</t>
  </si>
  <si>
    <t>https://zkillboard.com/kill/125746499/</t>
  </si>
  <si>
    <t>2025-03-23T09:13:50Z</t>
  </si>
  <si>
    <t>https://zkillboard.com/kill/125750213/</t>
  </si>
  <si>
    <t>2025-03-15T18:28:09Z</t>
  </si>
  <si>
    <t>https://zkillboard.com/kill/125541672/</t>
  </si>
  <si>
    <t>2025-03-23T20:34:55Z</t>
  </si>
  <si>
    <t>https://zkillboard.com/kill/125771130/</t>
  </si>
  <si>
    <t>2025-03-18T19:05:13Z</t>
  </si>
  <si>
    <t>https://zkillboard.com/kill/125627255/</t>
  </si>
  <si>
    <t>2025-03-15T18:29:43Z</t>
  </si>
  <si>
    <t>https://zkillboard.com/kill/125541742/</t>
  </si>
  <si>
    <t>2025-03-01T18:08:53Z</t>
  </si>
  <si>
    <t>https://zkillboard.com/kill/125172065/</t>
  </si>
  <si>
    <t>2025-03-14T06:51:20Z</t>
  </si>
  <si>
    <t>https://zkillboard.com/kill/125495088/</t>
  </si>
  <si>
    <t>2025-03-30T09:22:52Z</t>
  </si>
  <si>
    <t>https://zkillboard.com/kill/125942772/</t>
  </si>
  <si>
    <t>2025-03-28T15:32:53Z</t>
  </si>
  <si>
    <t>https://zkillboard.com/kill/125884824/</t>
  </si>
  <si>
    <t>2025-03-30T20:10:24Z</t>
  </si>
  <si>
    <t>https://zkillboard.com/kill/125957331/</t>
  </si>
  <si>
    <t>2025-03-15T17:32:08Z</t>
  </si>
  <si>
    <t>https://zkillboard.com/kill/125540081/</t>
  </si>
  <si>
    <t>2025-03-09T19:31:02Z</t>
  </si>
  <si>
    <t>https://zkillboard.com/kill/125385341/</t>
  </si>
  <si>
    <t>2025-03-01T18:16:23Z</t>
  </si>
  <si>
    <t>https://zkillboard.com/kill/125172271/</t>
  </si>
  <si>
    <t>2025-03-31T19:08:24Z</t>
  </si>
  <si>
    <t>https://zkillboard.com/kill/125976789/</t>
  </si>
  <si>
    <t>2025-03-31T14:54:21Z</t>
  </si>
  <si>
    <t>https://zkillboard.com/kill/125972469/</t>
  </si>
  <si>
    <t>2025-03-25T02:11:31Z</t>
  </si>
  <si>
    <t>https://zkillboard.com/kill/125803355/</t>
  </si>
  <si>
    <t>2025-03-25T02:07:21Z</t>
  </si>
  <si>
    <t>https://zkillboard.com/kill/125803259/</t>
  </si>
  <si>
    <t>2025-03-25T01:54:19Z</t>
  </si>
  <si>
    <t>https://zkillboard.com/kill/125802981/</t>
  </si>
  <si>
    <t>2025-03-25T01:49:09Z</t>
  </si>
  <si>
    <t>https://zkillboard.com/kill/125802895/</t>
  </si>
  <si>
    <t>2025-03-20T00:42:54Z</t>
  </si>
  <si>
    <t>https://zkillboard.com/kill/125658416/</t>
  </si>
  <si>
    <t>2025-03-12T20:33:09Z</t>
  </si>
  <si>
    <t>https://zkillboard.com/kill/125458775/</t>
  </si>
  <si>
    <t>2025-03-06T19:03:09Z</t>
  </si>
  <si>
    <t>https://zkillboard.com/kill/125301046/</t>
  </si>
  <si>
    <t>2025-03-04T19:10:55Z</t>
  </si>
  <si>
    <t>https://zkillboard.com/kill/125254614/</t>
  </si>
  <si>
    <t>2025-03-31T20:50:41Z</t>
  </si>
  <si>
    <t>https://zkillboard.com/kill/125979169/</t>
  </si>
  <si>
    <t>2025-03-12T21:02:55Z</t>
  </si>
  <si>
    <t>https://zkillboard.com/kill/125459836/</t>
  </si>
  <si>
    <t>2025-03-31T20:37:25Z</t>
  </si>
  <si>
    <t>https://zkillboard.com/kill/125978925/</t>
  </si>
  <si>
    <t>2025-03-31T20:29:05Z</t>
  </si>
  <si>
    <t>https://zkillboard.com/kill/125978727/</t>
  </si>
  <si>
    <t>2025-03-31T20:50:20Z</t>
  </si>
  <si>
    <t>https://zkillboard.com/kill/125979159/</t>
  </si>
  <si>
    <t>2025-03-31T20:43:56Z</t>
  </si>
  <si>
    <t>https://zkillboard.com/kill/125979041/</t>
  </si>
  <si>
    <t>2025-03-25T19:33:00Z</t>
  </si>
  <si>
    <t>https://zkillboard.com/kill/125821669/</t>
  </si>
  <si>
    <t>2025-03-12T20:59:13Z</t>
  </si>
  <si>
    <t>https://zkillboard.com/kill/125459714/</t>
  </si>
  <si>
    <t>2025-03-19T21:50:05Z</t>
  </si>
  <si>
    <t>https://zkillboard.com/kill/125655654/</t>
  </si>
  <si>
    <t>2025-03-25T19:03:55Z</t>
  </si>
  <si>
    <t>https://zkillboard.com/kill/125820983/</t>
  </si>
  <si>
    <t>2025-03-01T15:33:23Z</t>
  </si>
  <si>
    <t>https://zkillboard.com/kill/125168092/</t>
  </si>
  <si>
    <t>2025-03-12T21:03:57Z</t>
  </si>
  <si>
    <t>https://zkillboard.com/kill/125459865/</t>
  </si>
  <si>
    <t>2025-03-01T18:47:02Z</t>
  </si>
  <si>
    <t>https://zkillboard.com/kill/125173259/</t>
  </si>
  <si>
    <t>2025-03-25T18:52:12Z</t>
  </si>
  <si>
    <t>https://zkillboard.com/kill/125820699/</t>
  </si>
  <si>
    <t>2025-03-18T19:05:32Z</t>
  </si>
  <si>
    <t>https://zkillboard.com/kill/125627273/</t>
  </si>
  <si>
    <t>2025-03-01T18:21:10Z</t>
  </si>
  <si>
    <t>https://zkillboard.com/kill/125172408/</t>
  </si>
  <si>
    <t>2025-03-01T15:33:45Z</t>
  </si>
  <si>
    <t>https://zkillboard.com/kill/125168107/</t>
  </si>
  <si>
    <t>2025-03-15T18:30:24Z</t>
  </si>
  <si>
    <t>https://zkillboard.com/kill/125541766/</t>
  </si>
  <si>
    <t>2025-03-29T19:38:53Z</t>
  </si>
  <si>
    <t>https://zkillboard.com/kill/125923703/</t>
  </si>
  <si>
    <t>2025-03-31T20:55:04Z</t>
  </si>
  <si>
    <t>https://zkillboard.com/kill/125979258/</t>
  </si>
  <si>
    <t>2025-03-15T18:50:53Z</t>
  </si>
  <si>
    <t>https://zkillboard.com/kill/125542332/</t>
  </si>
  <si>
    <t>2025-03-14T06:34:12Z</t>
  </si>
  <si>
    <t>https://zkillboard.com/kill/125494792/</t>
  </si>
  <si>
    <t>2025-03-25T19:02:19Z</t>
  </si>
  <si>
    <t>https://zkillboard.com/kill/125820941/</t>
  </si>
  <si>
    <t>2025-03-14T14:20:51Z</t>
  </si>
  <si>
    <t>https://zkillboard.com/kill/125502309/</t>
  </si>
  <si>
    <t>2025-03-13T13:12:06Z</t>
  </si>
  <si>
    <t>https://zkillboard.com/kill/125473689/</t>
  </si>
  <si>
    <t>2025-03-25T18:13:24Z</t>
  </si>
  <si>
    <t>https://zkillboard.com/kill/125819844/</t>
  </si>
  <si>
    <t>2025-03-13T13:38:14Z</t>
  </si>
  <si>
    <t>https://zkillboard.com/kill/125474282/</t>
  </si>
  <si>
    <t>2025-03-25T18:54:37Z</t>
  </si>
  <si>
    <t>https://zkillboard.com/kill/125820749/</t>
  </si>
  <si>
    <t>2025-03-25T13:27:27Z</t>
  </si>
  <si>
    <t>https://zkillboard.com/kill/125813868/</t>
  </si>
  <si>
    <t>2025-03-17T17:28:56Z</t>
  </si>
  <si>
    <t>https://zkillboard.com/kill/125600002/</t>
  </si>
  <si>
    <t>2025-03-25T19:25:37Z</t>
  </si>
  <si>
    <t>https://zkillboard.com/kill/125821474/</t>
  </si>
  <si>
    <t>2025-03-07T19:49:16Z</t>
  </si>
  <si>
    <t>https://zkillboard.com/kill/125326495/</t>
  </si>
  <si>
    <t>2025-03-03T09:54:59Z</t>
  </si>
  <si>
    <t>https://zkillboard.com/kill/125222389/</t>
  </si>
  <si>
    <t>2025-03-09T10:52:54Z</t>
  </si>
  <si>
    <t>https://zkillboard.com/kill/125372780/</t>
  </si>
  <si>
    <t>2025-03-16T18:58:16Z</t>
  </si>
  <si>
    <t>https://zkillboard.com/kill/125577287/</t>
  </si>
  <si>
    <t>2025-03-27T19:06:28Z</t>
  </si>
  <si>
    <t>https://zkillboard.com/kill/125865951/</t>
  </si>
  <si>
    <t>2025-03-23T20:34:09Z</t>
  </si>
  <si>
    <t>https://zkillboard.com/kill/125771104/</t>
  </si>
  <si>
    <t>2025-03-27T19:10:28Z</t>
  </si>
  <si>
    <t>https://zkillboard.com/kill/125866024/</t>
  </si>
  <si>
    <t>2025-03-30T20:07:17Z</t>
  </si>
  <si>
    <t>https://zkillboard.com/kill/125957259/</t>
  </si>
  <si>
    <t>2025-03-14T16:45:49Z</t>
  </si>
  <si>
    <t>https://zkillboard.com/kill/125505447/</t>
  </si>
  <si>
    <t>2025-03-25T17:03:45Z</t>
  </si>
  <si>
    <t>https://zkillboard.com/kill/125818229/</t>
  </si>
  <si>
    <t>2025-03-19T21:50:50Z</t>
  </si>
  <si>
    <t>https://zkillboard.com/kill/125655670/</t>
  </si>
  <si>
    <t>2025-03-17T18:40:47Z</t>
  </si>
  <si>
    <t>https://zkillboard.com/kill/125601709/</t>
  </si>
  <si>
    <t>2025-03-06T19:05:58Z</t>
  </si>
  <si>
    <t>https://zkillboard.com/kill/125301137/</t>
  </si>
  <si>
    <t>2025-03-04T21:11:53Z</t>
  </si>
  <si>
    <t>https://zkillboard.com/kill/125257344/</t>
  </si>
  <si>
    <t>2025-03-30T21:13:47Z</t>
  </si>
  <si>
    <t>https://zkillboard.com/kill/125958882/</t>
  </si>
  <si>
    <t>2025-03-30T00:44:23Z</t>
  </si>
  <si>
    <t>https://zkillboard.com/kill/125933561/</t>
  </si>
  <si>
    <t>2025-03-19T21:56:04Z</t>
  </si>
  <si>
    <t>https://zkillboard.com/kill/125655746/</t>
  </si>
  <si>
    <t>2025-03-19T21:18:26Z</t>
  </si>
  <si>
    <t>https://zkillboard.com/kill/125654959/</t>
  </si>
  <si>
    <t>2025-03-16T20:03:57Z</t>
  </si>
  <si>
    <t>https://zkillboard.com/kill/125579155/</t>
  </si>
  <si>
    <t>2025-03-28T22:32:50Z</t>
  </si>
  <si>
    <t>https://zkillboard.com/kill/125894094/</t>
  </si>
  <si>
    <t>2025-03-20T18:38:43Z</t>
  </si>
  <si>
    <t>https://zkillboard.com/kill/125674601/</t>
  </si>
  <si>
    <t>2025-03-15T18:28:43Z</t>
  </si>
  <si>
    <t>https://zkillboard.com/kill/125541697/</t>
  </si>
  <si>
    <t>2025-03-09T10:54:40Z</t>
  </si>
  <si>
    <t>https://zkillboard.com/kill/125372805/</t>
  </si>
  <si>
    <t>2025-03-01T18:33:54Z</t>
  </si>
  <si>
    <t>https://zkillboard.com/kill/125172830/</t>
  </si>
  <si>
    <t>2025-03-15T18:30:07Z</t>
  </si>
  <si>
    <t>https://zkillboard.com/kill/125541755/</t>
  </si>
  <si>
    <t>2025-03-23T20:34:50Z</t>
  </si>
  <si>
    <t>https://zkillboard.com/kill/125771122/</t>
  </si>
  <si>
    <t>2025-03-31T21:43:29Z</t>
  </si>
  <si>
    <t>https://zkillboard.com/kill/125980060/</t>
  </si>
  <si>
    <t>2025-03-01T19:22:50Z</t>
  </si>
  <si>
    <t>https://zkillboard.com/kill/125174191/</t>
  </si>
  <si>
    <t>2025-03-09T16:46:48Z</t>
  </si>
  <si>
    <t>https://zkillboard.com/kill/125380651/</t>
  </si>
  <si>
    <t>2025-03-23T13:38:46Z</t>
  </si>
  <si>
    <t>https://zkillboard.com/kill/125756829/</t>
  </si>
  <si>
    <t>2025-03-28T13:37:35Z</t>
  </si>
  <si>
    <t>https://zkillboard.com/kill/125882028/</t>
  </si>
  <si>
    <t>2025-03-20T16:46:30Z</t>
  </si>
  <si>
    <t>https://zkillboard.com/kill/125672348/</t>
  </si>
  <si>
    <t>2025-03-25T19:37:48Z</t>
  </si>
  <si>
    <t>https://zkillboard.com/kill/125821782/</t>
  </si>
  <si>
    <t>Formation ships sum</t>
  </si>
  <si>
    <t>Small ships sum</t>
  </si>
  <si>
    <t>Total sum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</si>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</sst>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4" fontId="0" fillId="0" borderId="0" xfId="0" applyNumberFormat="1"/>
    <xf numFmtId="0" fontId="1" fillId="0" borderId="0" xfId="0" applyFont="1"/>
    <xf numFmtId="4" fontId="1" fillId="0" borderId="0" xfId="0" applyNumberFormat="1" applyFont="1"/>
    <xf numFmtId="0" fontId="2" fillId="0" borderId="0" xfId="1"/>
    <xf numFmtId="0" fontId="0" fillId="2" borderId="0" xfId="0" applyFill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zkillboard.com/kill/125771104/" TargetMode="External"/><Relationship Id="rId21" Type="http://schemas.openxmlformats.org/officeDocument/2006/relationships/hyperlink" Target="https://zkillboard.com/kill/125820737/" TargetMode="External"/><Relationship Id="rId42" Type="http://schemas.openxmlformats.org/officeDocument/2006/relationships/hyperlink" Target="https://zkillboard.com/kill/125172566/" TargetMode="External"/><Relationship Id="rId63" Type="http://schemas.openxmlformats.org/officeDocument/2006/relationships/hyperlink" Target="https://zkillboard.com/kill/125771130/" TargetMode="External"/><Relationship Id="rId84" Type="http://schemas.openxmlformats.org/officeDocument/2006/relationships/hyperlink" Target="https://zkillboard.com/kill/125979169/" TargetMode="External"/><Relationship Id="rId138" Type="http://schemas.openxmlformats.org/officeDocument/2006/relationships/hyperlink" Target="https://zkillboard.com/kill/125882028/" TargetMode="External"/><Relationship Id="rId107" Type="http://schemas.openxmlformats.org/officeDocument/2006/relationships/hyperlink" Target="https://zkillboard.com/kill/125473689/" TargetMode="External"/><Relationship Id="rId11" Type="http://schemas.openxmlformats.org/officeDocument/2006/relationships/hyperlink" Target="https://zkillboard.com/kill/125820941/" TargetMode="External"/><Relationship Id="rId32" Type="http://schemas.openxmlformats.org/officeDocument/2006/relationships/hyperlink" Target="https://zkillboard.com/kill/125820708/" TargetMode="External"/><Relationship Id="rId37" Type="http://schemas.openxmlformats.org/officeDocument/2006/relationships/hyperlink" Target="https://zkillboard.com/kill/125541682/" TargetMode="External"/><Relationship Id="rId53" Type="http://schemas.openxmlformats.org/officeDocument/2006/relationships/hyperlink" Target="https://zkillboard.com/kill/125740493/" TargetMode="External"/><Relationship Id="rId58" Type="http://schemas.openxmlformats.org/officeDocument/2006/relationships/hyperlink" Target="https://zkillboard.com/kill/125172477/" TargetMode="External"/><Relationship Id="rId74" Type="http://schemas.openxmlformats.org/officeDocument/2006/relationships/hyperlink" Target="https://zkillboard.com/kill/125976789/" TargetMode="External"/><Relationship Id="rId79" Type="http://schemas.openxmlformats.org/officeDocument/2006/relationships/hyperlink" Target="https://zkillboard.com/kill/125802895/" TargetMode="External"/><Relationship Id="rId102" Type="http://schemas.openxmlformats.org/officeDocument/2006/relationships/hyperlink" Target="https://zkillboard.com/kill/125923703/" TargetMode="External"/><Relationship Id="rId123" Type="http://schemas.openxmlformats.org/officeDocument/2006/relationships/hyperlink" Target="https://zkillboard.com/kill/125601709/" TargetMode="External"/><Relationship Id="rId128" Type="http://schemas.openxmlformats.org/officeDocument/2006/relationships/hyperlink" Target="https://zkillboard.com/kill/125654959/" TargetMode="External"/><Relationship Id="rId5" Type="http://schemas.openxmlformats.org/officeDocument/2006/relationships/hyperlink" Target="https://zkillboard.com/kill/125980060/" TargetMode="External"/><Relationship Id="rId90" Type="http://schemas.openxmlformats.org/officeDocument/2006/relationships/hyperlink" Target="https://zkillboard.com/kill/125821669/" TargetMode="External"/><Relationship Id="rId95" Type="http://schemas.openxmlformats.org/officeDocument/2006/relationships/hyperlink" Target="https://zkillboard.com/kill/125459865/" TargetMode="External"/><Relationship Id="rId22" Type="http://schemas.openxmlformats.org/officeDocument/2006/relationships/hyperlink" Target="https://zkillboard.com/kill/125541737/" TargetMode="External"/><Relationship Id="rId27" Type="http://schemas.openxmlformats.org/officeDocument/2006/relationships/hyperlink" Target="https://zkillboard.com/kill/125541542/" TargetMode="External"/><Relationship Id="rId43" Type="http://schemas.openxmlformats.org/officeDocument/2006/relationships/hyperlink" Target="https://zkillboard.com/kill/125821588/" TargetMode="External"/><Relationship Id="rId48" Type="http://schemas.openxmlformats.org/officeDocument/2006/relationships/hyperlink" Target="https://zkillboard.com/kill/125494616/" TargetMode="External"/><Relationship Id="rId64" Type="http://schemas.openxmlformats.org/officeDocument/2006/relationships/hyperlink" Target="https://zkillboard.com/kill/125627255/" TargetMode="External"/><Relationship Id="rId69" Type="http://schemas.openxmlformats.org/officeDocument/2006/relationships/hyperlink" Target="https://zkillboard.com/kill/125884824/" TargetMode="External"/><Relationship Id="rId113" Type="http://schemas.openxmlformats.org/officeDocument/2006/relationships/hyperlink" Target="https://zkillboard.com/kill/125222389/" TargetMode="External"/><Relationship Id="rId118" Type="http://schemas.openxmlformats.org/officeDocument/2006/relationships/hyperlink" Target="https://zkillboard.com/kill/125866024/" TargetMode="External"/><Relationship Id="rId134" Type="http://schemas.openxmlformats.org/officeDocument/2006/relationships/hyperlink" Target="https://zkillboard.com/kill/125172830/" TargetMode="External"/><Relationship Id="rId139" Type="http://schemas.openxmlformats.org/officeDocument/2006/relationships/hyperlink" Target="https://zkillboard.com/kill/125672348/" TargetMode="External"/><Relationship Id="rId80" Type="http://schemas.openxmlformats.org/officeDocument/2006/relationships/hyperlink" Target="https://zkillboard.com/kill/125658416/" TargetMode="External"/><Relationship Id="rId85" Type="http://schemas.openxmlformats.org/officeDocument/2006/relationships/hyperlink" Target="https://zkillboard.com/kill/125459836/" TargetMode="External"/><Relationship Id="rId12" Type="http://schemas.openxmlformats.org/officeDocument/2006/relationships/hyperlink" Target="https://zkillboard.com/kill/125819844/" TargetMode="External"/><Relationship Id="rId17" Type="http://schemas.openxmlformats.org/officeDocument/2006/relationships/hyperlink" Target="https://zkillboard.com/kill/125820794/" TargetMode="External"/><Relationship Id="rId33" Type="http://schemas.openxmlformats.org/officeDocument/2006/relationships/hyperlink" Target="https://zkillboard.com/kill/125541610/" TargetMode="External"/><Relationship Id="rId38" Type="http://schemas.openxmlformats.org/officeDocument/2006/relationships/hyperlink" Target="https://zkillboard.com/kill/125539191/" TargetMode="External"/><Relationship Id="rId59" Type="http://schemas.openxmlformats.org/officeDocument/2006/relationships/hyperlink" Target="https://zkillboard.com/kill/125541753/" TargetMode="External"/><Relationship Id="rId103" Type="http://schemas.openxmlformats.org/officeDocument/2006/relationships/hyperlink" Target="https://zkillboard.com/kill/125979258/" TargetMode="External"/><Relationship Id="rId108" Type="http://schemas.openxmlformats.org/officeDocument/2006/relationships/hyperlink" Target="https://zkillboard.com/kill/125474282/" TargetMode="External"/><Relationship Id="rId124" Type="http://schemas.openxmlformats.org/officeDocument/2006/relationships/hyperlink" Target="https://zkillboard.com/kill/125301137/" TargetMode="External"/><Relationship Id="rId129" Type="http://schemas.openxmlformats.org/officeDocument/2006/relationships/hyperlink" Target="https://zkillboard.com/kill/125579155/" TargetMode="External"/><Relationship Id="rId54" Type="http://schemas.openxmlformats.org/officeDocument/2006/relationships/hyperlink" Target="https://zkillboard.com/kill/125771079/" TargetMode="External"/><Relationship Id="rId70" Type="http://schemas.openxmlformats.org/officeDocument/2006/relationships/hyperlink" Target="https://zkillboard.com/kill/125957331/" TargetMode="External"/><Relationship Id="rId75" Type="http://schemas.openxmlformats.org/officeDocument/2006/relationships/hyperlink" Target="https://zkillboard.com/kill/125972469/" TargetMode="External"/><Relationship Id="rId91" Type="http://schemas.openxmlformats.org/officeDocument/2006/relationships/hyperlink" Target="https://zkillboard.com/kill/125459714/" TargetMode="External"/><Relationship Id="rId96" Type="http://schemas.openxmlformats.org/officeDocument/2006/relationships/hyperlink" Target="https://zkillboard.com/kill/125173259/" TargetMode="External"/><Relationship Id="rId140" Type="http://schemas.openxmlformats.org/officeDocument/2006/relationships/hyperlink" Target="https://zkillboard.com/kill/125821782/" TargetMode="External"/><Relationship Id="rId1" Type="http://schemas.openxmlformats.org/officeDocument/2006/relationships/hyperlink" Target="https://zkillboard.com/kill/125627903/" TargetMode="External"/><Relationship Id="rId6" Type="http://schemas.openxmlformats.org/officeDocument/2006/relationships/hyperlink" Target="https://zkillboard.com/kill/125326495/" TargetMode="External"/><Relationship Id="rId23" Type="http://schemas.openxmlformats.org/officeDocument/2006/relationships/hyperlink" Target="https://zkillboard.com/kill/125558049/" TargetMode="External"/><Relationship Id="rId28" Type="http://schemas.openxmlformats.org/officeDocument/2006/relationships/hyperlink" Target="https://zkillboard.com/kill/125821815/" TargetMode="External"/><Relationship Id="rId49" Type="http://schemas.openxmlformats.org/officeDocument/2006/relationships/hyperlink" Target="https://zkillboard.com/kill/125541620/" TargetMode="External"/><Relationship Id="rId114" Type="http://schemas.openxmlformats.org/officeDocument/2006/relationships/hyperlink" Target="https://zkillboard.com/kill/125372780/" TargetMode="External"/><Relationship Id="rId119" Type="http://schemas.openxmlformats.org/officeDocument/2006/relationships/hyperlink" Target="https://zkillboard.com/kill/125957259/" TargetMode="External"/><Relationship Id="rId44" Type="http://schemas.openxmlformats.org/officeDocument/2006/relationships/hyperlink" Target="https://zkillboard.com/kill/125558015/" TargetMode="External"/><Relationship Id="rId60" Type="http://schemas.openxmlformats.org/officeDocument/2006/relationships/hyperlink" Target="https://zkillboard.com/kill/125746499/" TargetMode="External"/><Relationship Id="rId65" Type="http://schemas.openxmlformats.org/officeDocument/2006/relationships/hyperlink" Target="https://zkillboard.com/kill/125541742/" TargetMode="External"/><Relationship Id="rId81" Type="http://schemas.openxmlformats.org/officeDocument/2006/relationships/hyperlink" Target="https://zkillboard.com/kill/125458775/" TargetMode="External"/><Relationship Id="rId86" Type="http://schemas.openxmlformats.org/officeDocument/2006/relationships/hyperlink" Target="https://zkillboard.com/kill/125978925/" TargetMode="External"/><Relationship Id="rId130" Type="http://schemas.openxmlformats.org/officeDocument/2006/relationships/hyperlink" Target="https://zkillboard.com/kill/125894094/" TargetMode="External"/><Relationship Id="rId135" Type="http://schemas.openxmlformats.org/officeDocument/2006/relationships/hyperlink" Target="https://zkillboard.com/kill/125174191/" TargetMode="External"/><Relationship Id="rId13" Type="http://schemas.openxmlformats.org/officeDocument/2006/relationships/hyperlink" Target="https://zkillboard.com/kill/125168153/" TargetMode="External"/><Relationship Id="rId18" Type="http://schemas.openxmlformats.org/officeDocument/2006/relationships/hyperlink" Target="https://zkillboard.com/kill/125650313/" TargetMode="External"/><Relationship Id="rId39" Type="http://schemas.openxmlformats.org/officeDocument/2006/relationships/hyperlink" Target="https://zkillboard.com/kill/125539703/" TargetMode="External"/><Relationship Id="rId109" Type="http://schemas.openxmlformats.org/officeDocument/2006/relationships/hyperlink" Target="https://zkillboard.com/kill/125820749/" TargetMode="External"/><Relationship Id="rId34" Type="http://schemas.openxmlformats.org/officeDocument/2006/relationships/hyperlink" Target="https://zkillboard.com/kill/125957223/" TargetMode="External"/><Relationship Id="rId50" Type="http://schemas.openxmlformats.org/officeDocument/2006/relationships/hyperlink" Target="https://zkillboard.com/kill/125301124/" TargetMode="External"/><Relationship Id="rId55" Type="http://schemas.openxmlformats.org/officeDocument/2006/relationships/hyperlink" Target="https://zkillboard.com/kill/125747347/" TargetMode="External"/><Relationship Id="rId76" Type="http://schemas.openxmlformats.org/officeDocument/2006/relationships/hyperlink" Target="https://zkillboard.com/kill/125803355/" TargetMode="External"/><Relationship Id="rId97" Type="http://schemas.openxmlformats.org/officeDocument/2006/relationships/hyperlink" Target="https://zkillboard.com/kill/125820699/" TargetMode="External"/><Relationship Id="rId104" Type="http://schemas.openxmlformats.org/officeDocument/2006/relationships/hyperlink" Target="https://zkillboard.com/kill/125542332/" TargetMode="External"/><Relationship Id="rId120" Type="http://schemas.openxmlformats.org/officeDocument/2006/relationships/hyperlink" Target="https://zkillboard.com/kill/125505447/" TargetMode="External"/><Relationship Id="rId125" Type="http://schemas.openxmlformats.org/officeDocument/2006/relationships/hyperlink" Target="https://zkillboard.com/kill/125958882/" TargetMode="External"/><Relationship Id="rId141" Type="http://schemas.openxmlformats.org/officeDocument/2006/relationships/printerSettings" Target="../printerSettings/printerSettings1.bin"/><Relationship Id="rId7" Type="http://schemas.openxmlformats.org/officeDocument/2006/relationships/hyperlink" Target="https://zkillboard.com/kill/125257344/" TargetMode="External"/><Relationship Id="rId71" Type="http://schemas.openxmlformats.org/officeDocument/2006/relationships/hyperlink" Target="https://zkillboard.com/kill/125540081/" TargetMode="External"/><Relationship Id="rId92" Type="http://schemas.openxmlformats.org/officeDocument/2006/relationships/hyperlink" Target="https://zkillboard.com/kill/125655654/" TargetMode="External"/><Relationship Id="rId2" Type="http://schemas.openxmlformats.org/officeDocument/2006/relationships/hyperlink" Target="https://zkillboard.com/kill/125821562/" TargetMode="External"/><Relationship Id="rId29" Type="http://schemas.openxmlformats.org/officeDocument/2006/relationships/hyperlink" Target="https://zkillboard.com/kill/125172236/" TargetMode="External"/><Relationship Id="rId24" Type="http://schemas.openxmlformats.org/officeDocument/2006/relationships/hyperlink" Target="https://zkillboard.com/kill/125172097/" TargetMode="External"/><Relationship Id="rId40" Type="http://schemas.openxmlformats.org/officeDocument/2006/relationships/hyperlink" Target="https://zkillboard.com/kill/125478639/" TargetMode="External"/><Relationship Id="rId45" Type="http://schemas.openxmlformats.org/officeDocument/2006/relationships/hyperlink" Target="https://zkillboard.com/kill/125253809/" TargetMode="External"/><Relationship Id="rId66" Type="http://schemas.openxmlformats.org/officeDocument/2006/relationships/hyperlink" Target="https://zkillboard.com/kill/125172065/" TargetMode="External"/><Relationship Id="rId87" Type="http://schemas.openxmlformats.org/officeDocument/2006/relationships/hyperlink" Target="https://zkillboard.com/kill/125978727/" TargetMode="External"/><Relationship Id="rId110" Type="http://schemas.openxmlformats.org/officeDocument/2006/relationships/hyperlink" Target="https://zkillboard.com/kill/125813868/" TargetMode="External"/><Relationship Id="rId115" Type="http://schemas.openxmlformats.org/officeDocument/2006/relationships/hyperlink" Target="https://zkillboard.com/kill/125577287/" TargetMode="External"/><Relationship Id="rId131" Type="http://schemas.openxmlformats.org/officeDocument/2006/relationships/hyperlink" Target="https://zkillboard.com/kill/125674601/" TargetMode="External"/><Relationship Id="rId136" Type="http://schemas.openxmlformats.org/officeDocument/2006/relationships/hyperlink" Target="https://zkillboard.com/kill/125380651/" TargetMode="External"/><Relationship Id="rId61" Type="http://schemas.openxmlformats.org/officeDocument/2006/relationships/hyperlink" Target="https://zkillboard.com/kill/125750213/" TargetMode="External"/><Relationship Id="rId82" Type="http://schemas.openxmlformats.org/officeDocument/2006/relationships/hyperlink" Target="https://zkillboard.com/kill/125301046/" TargetMode="External"/><Relationship Id="rId19" Type="http://schemas.openxmlformats.org/officeDocument/2006/relationships/hyperlink" Target="https://zkillboard.com/kill/125172605/" TargetMode="External"/><Relationship Id="rId14" Type="http://schemas.openxmlformats.org/officeDocument/2006/relationships/hyperlink" Target="https://zkillboard.com/kill/125573629/" TargetMode="External"/><Relationship Id="rId30" Type="http://schemas.openxmlformats.org/officeDocument/2006/relationships/hyperlink" Target="https://zkillboard.com/kill/125626788/" TargetMode="External"/><Relationship Id="rId35" Type="http://schemas.openxmlformats.org/officeDocument/2006/relationships/hyperlink" Target="https://zkillboard.com/kill/125494907/" TargetMode="External"/><Relationship Id="rId56" Type="http://schemas.openxmlformats.org/officeDocument/2006/relationships/hyperlink" Target="https://zkillboard.com/kill/125172899/" TargetMode="External"/><Relationship Id="rId77" Type="http://schemas.openxmlformats.org/officeDocument/2006/relationships/hyperlink" Target="https://zkillboard.com/kill/125803259/" TargetMode="External"/><Relationship Id="rId100" Type="http://schemas.openxmlformats.org/officeDocument/2006/relationships/hyperlink" Target="https://zkillboard.com/kill/125168107/" TargetMode="External"/><Relationship Id="rId105" Type="http://schemas.openxmlformats.org/officeDocument/2006/relationships/hyperlink" Target="https://zkillboard.com/kill/125494792/" TargetMode="External"/><Relationship Id="rId126" Type="http://schemas.openxmlformats.org/officeDocument/2006/relationships/hyperlink" Target="https://zkillboard.com/kill/125933561/" TargetMode="External"/><Relationship Id="rId8" Type="http://schemas.openxmlformats.org/officeDocument/2006/relationships/hyperlink" Target="https://zkillboard.com/kill/125541599/" TargetMode="External"/><Relationship Id="rId51" Type="http://schemas.openxmlformats.org/officeDocument/2006/relationships/hyperlink" Target="https://zkillboard.com/kill/125172111/" TargetMode="External"/><Relationship Id="rId72" Type="http://schemas.openxmlformats.org/officeDocument/2006/relationships/hyperlink" Target="https://zkillboard.com/kill/125385341/" TargetMode="External"/><Relationship Id="rId93" Type="http://schemas.openxmlformats.org/officeDocument/2006/relationships/hyperlink" Target="https://zkillboard.com/kill/125820983/" TargetMode="External"/><Relationship Id="rId98" Type="http://schemas.openxmlformats.org/officeDocument/2006/relationships/hyperlink" Target="https://zkillboard.com/kill/125627273/" TargetMode="External"/><Relationship Id="rId121" Type="http://schemas.openxmlformats.org/officeDocument/2006/relationships/hyperlink" Target="https://zkillboard.com/kill/125818229/" TargetMode="External"/><Relationship Id="rId3" Type="http://schemas.openxmlformats.org/officeDocument/2006/relationships/hyperlink" Target="https://zkillboard.com/kill/125771122/" TargetMode="External"/><Relationship Id="rId25" Type="http://schemas.openxmlformats.org/officeDocument/2006/relationships/hyperlink" Target="https://zkillboard.com/kill/125301047/" TargetMode="External"/><Relationship Id="rId46" Type="http://schemas.openxmlformats.org/officeDocument/2006/relationships/hyperlink" Target="https://zkillboard.com/kill/125172496/" TargetMode="External"/><Relationship Id="rId67" Type="http://schemas.openxmlformats.org/officeDocument/2006/relationships/hyperlink" Target="https://zkillboard.com/kill/125495088/" TargetMode="External"/><Relationship Id="rId116" Type="http://schemas.openxmlformats.org/officeDocument/2006/relationships/hyperlink" Target="https://zkillboard.com/kill/125865951/" TargetMode="External"/><Relationship Id="rId137" Type="http://schemas.openxmlformats.org/officeDocument/2006/relationships/hyperlink" Target="https://zkillboard.com/kill/125756829/" TargetMode="External"/><Relationship Id="rId20" Type="http://schemas.openxmlformats.org/officeDocument/2006/relationships/hyperlink" Target="https://zkillboard.com/kill/125650202/" TargetMode="External"/><Relationship Id="rId41" Type="http://schemas.openxmlformats.org/officeDocument/2006/relationships/hyperlink" Target="https://zkillboard.com/kill/125172071/" TargetMode="External"/><Relationship Id="rId62" Type="http://schemas.openxmlformats.org/officeDocument/2006/relationships/hyperlink" Target="https://zkillboard.com/kill/125541672/" TargetMode="External"/><Relationship Id="rId83" Type="http://schemas.openxmlformats.org/officeDocument/2006/relationships/hyperlink" Target="https://zkillboard.com/kill/125254614/" TargetMode="External"/><Relationship Id="rId88" Type="http://schemas.openxmlformats.org/officeDocument/2006/relationships/hyperlink" Target="https://zkillboard.com/kill/125979159/" TargetMode="External"/><Relationship Id="rId111" Type="http://schemas.openxmlformats.org/officeDocument/2006/relationships/hyperlink" Target="https://zkillboard.com/kill/125600002/" TargetMode="External"/><Relationship Id="rId132" Type="http://schemas.openxmlformats.org/officeDocument/2006/relationships/hyperlink" Target="https://zkillboard.com/kill/125541697/" TargetMode="External"/><Relationship Id="rId15" Type="http://schemas.openxmlformats.org/officeDocument/2006/relationships/hyperlink" Target="https://zkillboard.com/kill/125244067/" TargetMode="External"/><Relationship Id="rId36" Type="http://schemas.openxmlformats.org/officeDocument/2006/relationships/hyperlink" Target="https://zkillboard.com/kill/125957309/" TargetMode="External"/><Relationship Id="rId57" Type="http://schemas.openxmlformats.org/officeDocument/2006/relationships/hyperlink" Target="https://zkillboard.com/kill/125172051/" TargetMode="External"/><Relationship Id="rId106" Type="http://schemas.openxmlformats.org/officeDocument/2006/relationships/hyperlink" Target="https://zkillboard.com/kill/125502309/" TargetMode="External"/><Relationship Id="rId127" Type="http://schemas.openxmlformats.org/officeDocument/2006/relationships/hyperlink" Target="https://zkillboard.com/kill/125655746/" TargetMode="External"/><Relationship Id="rId10" Type="http://schemas.openxmlformats.org/officeDocument/2006/relationships/hyperlink" Target="https://zkillboard.com/kill/125540232/" TargetMode="External"/><Relationship Id="rId31" Type="http://schemas.openxmlformats.org/officeDocument/2006/relationships/hyperlink" Target="https://zkillboard.com/kill/125821484/" TargetMode="External"/><Relationship Id="rId52" Type="http://schemas.openxmlformats.org/officeDocument/2006/relationships/hyperlink" Target="https://zkillboard.com/kill/125820876/" TargetMode="External"/><Relationship Id="rId73" Type="http://schemas.openxmlformats.org/officeDocument/2006/relationships/hyperlink" Target="https://zkillboard.com/kill/125172271/" TargetMode="External"/><Relationship Id="rId78" Type="http://schemas.openxmlformats.org/officeDocument/2006/relationships/hyperlink" Target="https://zkillboard.com/kill/125802981/" TargetMode="External"/><Relationship Id="rId94" Type="http://schemas.openxmlformats.org/officeDocument/2006/relationships/hyperlink" Target="https://zkillboard.com/kill/125168092/" TargetMode="External"/><Relationship Id="rId99" Type="http://schemas.openxmlformats.org/officeDocument/2006/relationships/hyperlink" Target="https://zkillboard.com/kill/125172408/" TargetMode="External"/><Relationship Id="rId101" Type="http://schemas.openxmlformats.org/officeDocument/2006/relationships/hyperlink" Target="https://zkillboard.com/kill/125541766/" TargetMode="External"/><Relationship Id="rId122" Type="http://schemas.openxmlformats.org/officeDocument/2006/relationships/hyperlink" Target="https://zkillboard.com/kill/125655670/" TargetMode="External"/><Relationship Id="rId4" Type="http://schemas.openxmlformats.org/officeDocument/2006/relationships/hyperlink" Target="https://zkillboard.com/kill/125541755/" TargetMode="External"/><Relationship Id="rId9" Type="http://schemas.openxmlformats.org/officeDocument/2006/relationships/hyperlink" Target="https://zkillboard.com/kill/125172727/" TargetMode="External"/><Relationship Id="rId26" Type="http://schemas.openxmlformats.org/officeDocument/2006/relationships/hyperlink" Target="https://zkillboard.com/kill/125172670/" TargetMode="External"/><Relationship Id="rId47" Type="http://schemas.openxmlformats.org/officeDocument/2006/relationships/hyperlink" Target="https://zkillboard.com/kill/125885301/" TargetMode="External"/><Relationship Id="rId68" Type="http://schemas.openxmlformats.org/officeDocument/2006/relationships/hyperlink" Target="https://zkillboard.com/kill/125942772/" TargetMode="External"/><Relationship Id="rId89" Type="http://schemas.openxmlformats.org/officeDocument/2006/relationships/hyperlink" Target="https://zkillboard.com/kill/125979041/" TargetMode="External"/><Relationship Id="rId112" Type="http://schemas.openxmlformats.org/officeDocument/2006/relationships/hyperlink" Target="https://zkillboard.com/kill/125821474/" TargetMode="External"/><Relationship Id="rId133" Type="http://schemas.openxmlformats.org/officeDocument/2006/relationships/hyperlink" Target="https://zkillboard.com/kill/125372805/" TargetMode="External"/><Relationship Id="rId16" Type="http://schemas.openxmlformats.org/officeDocument/2006/relationships/hyperlink" Target="https://zkillboard.com/kill/12545876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E69"/>
  <sheetViews>
    <sheetView workbookViewId="0">
      <selection activeCell="G67" sqref="G67"/>
    </sheetView>
  </sheetViews>
  <sheetFormatPr defaultRowHeight="15" x14ac:dyDescent="0.25"/>
  <cols>
    <col min="2" max="2" width="19.7109375" customWidth="1"/>
    <col min="4" max="4" width="21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2119544533</v>
      </c>
      <c r="B2" t="s">
        <v>5</v>
      </c>
      <c r="C2" t="s">
        <v>6</v>
      </c>
      <c r="D2" s="2">
        <f>Summary!E2</f>
        <v>152937837.61000001</v>
      </c>
      <c r="E2" t="s">
        <v>7</v>
      </c>
    </row>
    <row r="3" spans="1:5" x14ac:dyDescent="0.25">
      <c r="A3">
        <v>2114560704</v>
      </c>
      <c r="B3" t="s">
        <v>8</v>
      </c>
      <c r="C3" t="s">
        <v>6</v>
      </c>
      <c r="D3" s="2">
        <f>Summary!E3</f>
        <v>243356357.12</v>
      </c>
      <c r="E3" t="s">
        <v>7</v>
      </c>
    </row>
    <row r="4" spans="1:5" x14ac:dyDescent="0.25">
      <c r="A4">
        <v>2121104802</v>
      </c>
      <c r="B4" t="s">
        <v>9</v>
      </c>
      <c r="C4" t="s">
        <v>6</v>
      </c>
      <c r="D4" s="2">
        <f>Summary!E4</f>
        <v>0</v>
      </c>
      <c r="E4" t="s">
        <v>7</v>
      </c>
    </row>
    <row r="5" spans="1:5" x14ac:dyDescent="0.25">
      <c r="A5">
        <v>90281083</v>
      </c>
      <c r="B5" t="s">
        <v>10</v>
      </c>
      <c r="C5" t="s">
        <v>6</v>
      </c>
      <c r="D5" s="2">
        <f>Summary!E5</f>
        <v>253371772.31999999</v>
      </c>
      <c r="E5" t="s">
        <v>7</v>
      </c>
    </row>
    <row r="6" spans="1:5" x14ac:dyDescent="0.25">
      <c r="A6">
        <v>95313706</v>
      </c>
      <c r="B6" t="s">
        <v>11</v>
      </c>
      <c r="C6" t="s">
        <v>6</v>
      </c>
      <c r="D6" s="2">
        <f>Summary!E6</f>
        <v>0</v>
      </c>
      <c r="E6" t="s">
        <v>7</v>
      </c>
    </row>
    <row r="7" spans="1:5" x14ac:dyDescent="0.25">
      <c r="A7">
        <v>2121682491</v>
      </c>
      <c r="B7" t="s">
        <v>12</v>
      </c>
      <c r="C7" t="s">
        <v>13</v>
      </c>
      <c r="D7" s="2">
        <f>Summary!E7</f>
        <v>1500465989.6500001</v>
      </c>
      <c r="E7" t="s">
        <v>7</v>
      </c>
    </row>
    <row r="8" spans="1:5" x14ac:dyDescent="0.25">
      <c r="A8">
        <v>225767727</v>
      </c>
      <c r="B8" t="s">
        <v>14</v>
      </c>
      <c r="C8" t="s">
        <v>13</v>
      </c>
      <c r="D8" s="2">
        <f>Summary!E8</f>
        <v>1239231981.29</v>
      </c>
      <c r="E8" t="s">
        <v>7</v>
      </c>
    </row>
    <row r="9" spans="1:5" x14ac:dyDescent="0.25">
      <c r="A9">
        <v>2122114371</v>
      </c>
      <c r="B9" t="s">
        <v>15</v>
      </c>
      <c r="C9" t="s">
        <v>13</v>
      </c>
      <c r="D9" s="2">
        <f>Summary!E9</f>
        <v>0</v>
      </c>
      <c r="E9" t="s">
        <v>7</v>
      </c>
    </row>
    <row r="10" spans="1:5" x14ac:dyDescent="0.25">
      <c r="A10">
        <v>93043689</v>
      </c>
      <c r="B10" t="s">
        <v>16</v>
      </c>
      <c r="C10" t="s">
        <v>13</v>
      </c>
      <c r="D10" s="2">
        <f>Summary!E10</f>
        <v>303885960.54000002</v>
      </c>
      <c r="E10" t="s">
        <v>7</v>
      </c>
    </row>
    <row r="11" spans="1:5" x14ac:dyDescent="0.25">
      <c r="A11">
        <v>2119550766</v>
      </c>
      <c r="B11" t="s">
        <v>17</v>
      </c>
      <c r="C11" t="s">
        <v>13</v>
      </c>
      <c r="D11" s="2">
        <f>Summary!E11</f>
        <v>-148761417.36999997</v>
      </c>
      <c r="E11" t="s">
        <v>18</v>
      </c>
    </row>
    <row r="12" spans="1:5" x14ac:dyDescent="0.25">
      <c r="A12">
        <v>2120222883</v>
      </c>
      <c r="B12" t="s">
        <v>19</v>
      </c>
      <c r="C12" t="s">
        <v>20</v>
      </c>
      <c r="D12" s="2">
        <f>Summary!E12</f>
        <v>312416627.60000002</v>
      </c>
      <c r="E12" t="s">
        <v>7</v>
      </c>
    </row>
    <row r="13" spans="1:5" x14ac:dyDescent="0.25">
      <c r="A13">
        <v>2113615862</v>
      </c>
      <c r="B13" t="s">
        <v>21</v>
      </c>
      <c r="C13" t="s">
        <v>20</v>
      </c>
      <c r="D13" s="2">
        <f>Summary!E13</f>
        <v>679594272.21000004</v>
      </c>
      <c r="E13" t="s">
        <v>7</v>
      </c>
    </row>
    <row r="14" spans="1:5" x14ac:dyDescent="0.25">
      <c r="A14">
        <v>2120368884</v>
      </c>
      <c r="B14" t="s">
        <v>22</v>
      </c>
      <c r="C14" t="s">
        <v>20</v>
      </c>
      <c r="D14" s="2">
        <f>Summary!E14</f>
        <v>73856500.959999993</v>
      </c>
      <c r="E14" t="s">
        <v>7</v>
      </c>
    </row>
    <row r="15" spans="1:5" x14ac:dyDescent="0.25">
      <c r="A15">
        <v>2121579751</v>
      </c>
      <c r="B15" t="s">
        <v>23</v>
      </c>
      <c r="C15" t="s">
        <v>20</v>
      </c>
      <c r="D15" s="2">
        <f>Summary!E15</f>
        <v>153962862.59</v>
      </c>
      <c r="E15" t="s">
        <v>7</v>
      </c>
    </row>
    <row r="16" spans="1:5" x14ac:dyDescent="0.25">
      <c r="A16">
        <v>2121494563</v>
      </c>
      <c r="B16" t="s">
        <v>24</v>
      </c>
      <c r="C16" t="s">
        <v>20</v>
      </c>
      <c r="D16" s="2">
        <f>Summary!E16</f>
        <v>565282615.53999996</v>
      </c>
      <c r="E16" t="s">
        <v>7</v>
      </c>
    </row>
    <row r="17" spans="1:5" x14ac:dyDescent="0.25">
      <c r="A17">
        <v>2120551928</v>
      </c>
      <c r="B17" t="s">
        <v>25</v>
      </c>
      <c r="C17" t="s">
        <v>20</v>
      </c>
      <c r="D17" s="2">
        <f>Summary!E17</f>
        <v>989810311.03999996</v>
      </c>
      <c r="E17" t="s">
        <v>7</v>
      </c>
    </row>
    <row r="18" spans="1:5" x14ac:dyDescent="0.25">
      <c r="A18">
        <v>2122019556</v>
      </c>
      <c r="B18" t="s">
        <v>26</v>
      </c>
      <c r="C18" t="s">
        <v>20</v>
      </c>
      <c r="D18" s="2">
        <f>Summary!E18</f>
        <v>261221362.69</v>
      </c>
      <c r="E18" t="s">
        <v>7</v>
      </c>
    </row>
    <row r="19" spans="1:5" x14ac:dyDescent="0.25">
      <c r="A19">
        <v>2117269486</v>
      </c>
      <c r="B19" t="s">
        <v>27</v>
      </c>
      <c r="C19" t="s">
        <v>20</v>
      </c>
      <c r="D19" s="2">
        <f>Summary!E19</f>
        <v>71228214.789999992</v>
      </c>
      <c r="E19" t="s">
        <v>7</v>
      </c>
    </row>
    <row r="20" spans="1:5" x14ac:dyDescent="0.25">
      <c r="A20">
        <v>2120782276</v>
      </c>
      <c r="B20" t="s">
        <v>28</v>
      </c>
      <c r="C20" t="s">
        <v>20</v>
      </c>
      <c r="D20" s="2">
        <f>Summary!E20</f>
        <v>261866125.12</v>
      </c>
      <c r="E20" t="s">
        <v>7</v>
      </c>
    </row>
    <row r="21" spans="1:5" x14ac:dyDescent="0.25">
      <c r="A21">
        <v>2119333224</v>
      </c>
      <c r="B21" t="s">
        <v>29</v>
      </c>
      <c r="C21" t="s">
        <v>20</v>
      </c>
      <c r="D21" s="2">
        <f>Summary!E21</f>
        <v>309394958.86000001</v>
      </c>
      <c r="E21" t="s">
        <v>7</v>
      </c>
    </row>
    <row r="22" spans="1:5" x14ac:dyDescent="0.25">
      <c r="A22">
        <v>2116733653</v>
      </c>
      <c r="B22" t="s">
        <v>30</v>
      </c>
      <c r="C22" t="s">
        <v>20</v>
      </c>
      <c r="D22" s="2">
        <f>Summary!E22</f>
        <v>78917112.789999992</v>
      </c>
      <c r="E22">
        <v>0</v>
      </c>
    </row>
    <row r="23" spans="1:5" x14ac:dyDescent="0.25">
      <c r="A23">
        <v>2118020839</v>
      </c>
      <c r="B23" t="s">
        <v>31</v>
      </c>
      <c r="C23" t="s">
        <v>20</v>
      </c>
      <c r="D23" s="2">
        <f>Summary!E23</f>
        <v>177604074.22</v>
      </c>
      <c r="E23" t="s">
        <v>7</v>
      </c>
    </row>
    <row r="24" spans="1:5" x14ac:dyDescent="0.25">
      <c r="A24">
        <v>2114978402</v>
      </c>
      <c r="B24" t="s">
        <v>32</v>
      </c>
      <c r="C24" t="s">
        <v>20</v>
      </c>
      <c r="D24" s="2">
        <f>Summary!E24</f>
        <v>656279321.08999991</v>
      </c>
      <c r="E24" t="s">
        <v>7</v>
      </c>
    </row>
    <row r="25" spans="1:5" x14ac:dyDescent="0.25">
      <c r="A25">
        <v>2113347193</v>
      </c>
      <c r="B25" t="s">
        <v>33</v>
      </c>
      <c r="C25" t="s">
        <v>20</v>
      </c>
      <c r="D25" s="2">
        <f>Summary!E25</f>
        <v>207412841.18000001</v>
      </c>
      <c r="E25" t="s">
        <v>7</v>
      </c>
    </row>
    <row r="26" spans="1:5" x14ac:dyDescent="0.25">
      <c r="A26">
        <v>1672215492</v>
      </c>
      <c r="B26" t="s">
        <v>34</v>
      </c>
      <c r="C26" t="s">
        <v>20</v>
      </c>
      <c r="D26" s="2">
        <f>Summary!E26</f>
        <v>229488171.80000001</v>
      </c>
      <c r="E26" t="s">
        <v>7</v>
      </c>
    </row>
    <row r="27" spans="1:5" x14ac:dyDescent="0.25">
      <c r="A27">
        <v>1055292116</v>
      </c>
      <c r="B27" t="s">
        <v>35</v>
      </c>
      <c r="C27" t="s">
        <v>20</v>
      </c>
      <c r="D27" s="2">
        <f>Summary!E27</f>
        <v>256623181.16999999</v>
      </c>
      <c r="E27" t="s">
        <v>7</v>
      </c>
    </row>
    <row r="28" spans="1:5" x14ac:dyDescent="0.25">
      <c r="A28">
        <v>2119303949</v>
      </c>
      <c r="B28" t="s">
        <v>36</v>
      </c>
      <c r="C28" t="s">
        <v>20</v>
      </c>
      <c r="D28" s="2">
        <f>Summary!E28</f>
        <v>622087031.63</v>
      </c>
      <c r="E28" t="s">
        <v>7</v>
      </c>
    </row>
    <row r="29" spans="1:5" x14ac:dyDescent="0.25">
      <c r="A29">
        <v>2117816200</v>
      </c>
      <c r="B29" t="s">
        <v>37</v>
      </c>
      <c r="C29" t="s">
        <v>20</v>
      </c>
      <c r="D29" s="2">
        <f>Summary!E29</f>
        <v>73405282.120000005</v>
      </c>
      <c r="E29" t="s">
        <v>7</v>
      </c>
    </row>
    <row r="30" spans="1:5" x14ac:dyDescent="0.25">
      <c r="A30">
        <v>96813782</v>
      </c>
      <c r="B30" t="s">
        <v>38</v>
      </c>
      <c r="C30" t="s">
        <v>20</v>
      </c>
      <c r="D30" s="2">
        <f>Summary!E30</f>
        <v>202979178.12</v>
      </c>
      <c r="E30" t="s">
        <v>7</v>
      </c>
    </row>
    <row r="31" spans="1:5" x14ac:dyDescent="0.25">
      <c r="A31">
        <v>2121841531</v>
      </c>
      <c r="B31" t="s">
        <v>39</v>
      </c>
      <c r="C31" t="s">
        <v>20</v>
      </c>
      <c r="D31" s="2">
        <f>Summary!E31</f>
        <v>482194925.11000001</v>
      </c>
      <c r="E31" t="s">
        <v>7</v>
      </c>
    </row>
    <row r="32" spans="1:5" x14ac:dyDescent="0.25">
      <c r="A32">
        <v>93741008</v>
      </c>
      <c r="B32" t="s">
        <v>40</v>
      </c>
      <c r="C32" t="s">
        <v>20</v>
      </c>
      <c r="D32" s="2">
        <f>Summary!E32</f>
        <v>152005906.56</v>
      </c>
      <c r="E32">
        <v>0</v>
      </c>
    </row>
    <row r="33" spans="1:5" x14ac:dyDescent="0.25">
      <c r="A33">
        <v>2112559323</v>
      </c>
      <c r="B33" t="s">
        <v>41</v>
      </c>
      <c r="C33" t="s">
        <v>20</v>
      </c>
      <c r="D33" s="2">
        <f>Summary!E33</f>
        <v>367752688.37</v>
      </c>
      <c r="E33" t="s">
        <v>7</v>
      </c>
    </row>
    <row r="34" spans="1:5" x14ac:dyDescent="0.25">
      <c r="A34">
        <v>90557433</v>
      </c>
      <c r="B34" t="s">
        <v>42</v>
      </c>
      <c r="C34" t="s">
        <v>20</v>
      </c>
      <c r="D34" s="2">
        <f>Summary!E34</f>
        <v>106905010.38</v>
      </c>
      <c r="E34" t="s">
        <v>7</v>
      </c>
    </row>
    <row r="35" spans="1:5" x14ac:dyDescent="0.25">
      <c r="A35">
        <v>2120630134</v>
      </c>
      <c r="B35" t="s">
        <v>43</v>
      </c>
      <c r="C35" t="s">
        <v>20</v>
      </c>
      <c r="D35" s="2">
        <f>Summary!E35</f>
        <v>152501212.06</v>
      </c>
      <c r="E35">
        <v>0</v>
      </c>
    </row>
    <row r="36" spans="1:5" x14ac:dyDescent="0.25">
      <c r="A36">
        <v>2121442434</v>
      </c>
      <c r="B36" t="s">
        <v>44</v>
      </c>
      <c r="C36" t="s">
        <v>20</v>
      </c>
      <c r="D36" s="2">
        <f>Summary!E36</f>
        <v>151810316.16</v>
      </c>
      <c r="E36" t="s">
        <v>7</v>
      </c>
    </row>
    <row r="37" spans="1:5" x14ac:dyDescent="0.25">
      <c r="A37">
        <v>2117765992</v>
      </c>
      <c r="B37" t="s">
        <v>45</v>
      </c>
      <c r="C37" t="s">
        <v>20</v>
      </c>
      <c r="D37" s="2">
        <f>Summary!E37</f>
        <v>255992605.38</v>
      </c>
      <c r="E37" t="s">
        <v>7</v>
      </c>
    </row>
    <row r="38" spans="1:5" x14ac:dyDescent="0.25">
      <c r="A38">
        <v>737305751</v>
      </c>
      <c r="B38" t="s">
        <v>46</v>
      </c>
      <c r="C38" t="s">
        <v>20</v>
      </c>
      <c r="D38" s="2">
        <f>Summary!E38</f>
        <v>47882262.510000013</v>
      </c>
      <c r="E38" t="s">
        <v>7</v>
      </c>
    </row>
    <row r="39" spans="1:5" x14ac:dyDescent="0.25">
      <c r="A39">
        <v>91860645</v>
      </c>
      <c r="B39" t="s">
        <v>47</v>
      </c>
      <c r="C39" t="s">
        <v>20</v>
      </c>
      <c r="D39" s="2">
        <f>Summary!E39</f>
        <v>263026968.81</v>
      </c>
      <c r="E39" t="s">
        <v>7</v>
      </c>
    </row>
    <row r="40" spans="1:5" x14ac:dyDescent="0.25">
      <c r="A40">
        <v>1440237961</v>
      </c>
      <c r="B40" t="s">
        <v>48</v>
      </c>
      <c r="C40" t="s">
        <v>20</v>
      </c>
      <c r="D40" s="2">
        <f>Summary!E40</f>
        <v>1205321715.49</v>
      </c>
      <c r="E40" t="s">
        <v>7</v>
      </c>
    </row>
    <row r="41" spans="1:5" x14ac:dyDescent="0.25">
      <c r="A41">
        <v>2120346029</v>
      </c>
      <c r="B41" t="s">
        <v>49</v>
      </c>
      <c r="C41" t="s">
        <v>20</v>
      </c>
      <c r="D41" s="2">
        <f>Summary!E41</f>
        <v>773833905.05999994</v>
      </c>
      <c r="E41" t="s">
        <v>7</v>
      </c>
    </row>
    <row r="42" spans="1:5" x14ac:dyDescent="0.25">
      <c r="A42">
        <v>2116799756</v>
      </c>
      <c r="B42" t="s">
        <v>50</v>
      </c>
      <c r="C42" t="s">
        <v>20</v>
      </c>
      <c r="D42" s="2">
        <f>Summary!E42</f>
        <v>102003517.19999999</v>
      </c>
      <c r="E42" t="s">
        <v>7</v>
      </c>
    </row>
    <row r="43" spans="1:5" x14ac:dyDescent="0.25">
      <c r="A43">
        <v>2122911798</v>
      </c>
      <c r="B43" t="s">
        <v>51</v>
      </c>
      <c r="C43" t="s">
        <v>20</v>
      </c>
      <c r="D43" s="2">
        <f>Summary!E43</f>
        <v>1252929792.1800001</v>
      </c>
      <c r="E43" t="s">
        <v>7</v>
      </c>
    </row>
    <row r="44" spans="1:5" x14ac:dyDescent="0.25">
      <c r="A44">
        <v>2119854581</v>
      </c>
      <c r="B44" t="s">
        <v>52</v>
      </c>
      <c r="C44" t="s">
        <v>20</v>
      </c>
      <c r="D44" s="2">
        <f>Summary!E44</f>
        <v>1128395096.2</v>
      </c>
      <c r="E44" t="s">
        <v>7</v>
      </c>
    </row>
    <row r="45" spans="1:5" x14ac:dyDescent="0.25">
      <c r="A45">
        <v>1613780581</v>
      </c>
      <c r="B45" t="s">
        <v>53</v>
      </c>
      <c r="C45" t="s">
        <v>20</v>
      </c>
      <c r="D45" s="2">
        <f>Summary!E45</f>
        <v>46068482.539999999</v>
      </c>
      <c r="E45" t="s">
        <v>7</v>
      </c>
    </row>
    <row r="46" spans="1:5" x14ac:dyDescent="0.25">
      <c r="A46">
        <v>2114092438</v>
      </c>
      <c r="B46" t="s">
        <v>54</v>
      </c>
      <c r="C46" t="s">
        <v>20</v>
      </c>
      <c r="D46" s="2">
        <f>Summary!E46</f>
        <v>699000867.5999999</v>
      </c>
      <c r="E46">
        <v>0</v>
      </c>
    </row>
    <row r="47" spans="1:5" x14ac:dyDescent="0.25">
      <c r="A47">
        <v>2116458944</v>
      </c>
      <c r="B47" t="s">
        <v>55</v>
      </c>
      <c r="C47" t="s">
        <v>20</v>
      </c>
      <c r="D47" s="2">
        <f>Summary!E47</f>
        <v>470864063.96999997</v>
      </c>
      <c r="E47" t="s">
        <v>7</v>
      </c>
    </row>
    <row r="48" spans="1:5" x14ac:dyDescent="0.25">
      <c r="A48">
        <v>2119925007</v>
      </c>
      <c r="B48" t="s">
        <v>56</v>
      </c>
      <c r="C48" t="s">
        <v>57</v>
      </c>
      <c r="D48" s="2">
        <f>Summary!E48</f>
        <v>0</v>
      </c>
      <c r="E48" t="s">
        <v>7</v>
      </c>
    </row>
    <row r="49" spans="1:5" x14ac:dyDescent="0.25">
      <c r="A49">
        <v>2118120251</v>
      </c>
      <c r="B49" t="s">
        <v>58</v>
      </c>
      <c r="C49" t="s">
        <v>59</v>
      </c>
      <c r="D49" s="2">
        <f>Summary!E49</f>
        <v>150709218.63999999</v>
      </c>
      <c r="E49" t="s">
        <v>7</v>
      </c>
    </row>
    <row r="50" spans="1:5" x14ac:dyDescent="0.25">
      <c r="A50">
        <v>2120346428</v>
      </c>
      <c r="B50" t="s">
        <v>60</v>
      </c>
      <c r="C50" t="s">
        <v>59</v>
      </c>
      <c r="D50" s="2">
        <f>Summary!E50</f>
        <v>63844797.890000008</v>
      </c>
      <c r="E50" t="s">
        <v>7</v>
      </c>
    </row>
    <row r="51" spans="1:5" x14ac:dyDescent="0.25">
      <c r="A51">
        <v>95193602</v>
      </c>
      <c r="B51" t="s">
        <v>61</v>
      </c>
      <c r="C51" t="s">
        <v>59</v>
      </c>
      <c r="D51" s="2">
        <f>Summary!E51</f>
        <v>303159766.95999998</v>
      </c>
      <c r="E51" t="s">
        <v>7</v>
      </c>
    </row>
    <row r="52" spans="1:5" x14ac:dyDescent="0.25">
      <c r="A52">
        <v>2115780796</v>
      </c>
      <c r="B52" t="s">
        <v>62</v>
      </c>
      <c r="C52" t="s">
        <v>59</v>
      </c>
      <c r="D52" s="2">
        <f>Summary!E52</f>
        <v>0</v>
      </c>
      <c r="E52" t="s">
        <v>7</v>
      </c>
    </row>
    <row r="53" spans="1:5" x14ac:dyDescent="0.25">
      <c r="A53">
        <v>96300819</v>
      </c>
      <c r="B53" t="s">
        <v>63</v>
      </c>
      <c r="C53" t="s">
        <v>59</v>
      </c>
      <c r="D53" s="2">
        <f>Summary!E53</f>
        <v>0</v>
      </c>
      <c r="E53" t="s">
        <v>7</v>
      </c>
    </row>
    <row r="54" spans="1:5" x14ac:dyDescent="0.25">
      <c r="A54">
        <v>2114066365</v>
      </c>
      <c r="B54" t="s">
        <v>64</v>
      </c>
      <c r="C54" t="s">
        <v>59</v>
      </c>
      <c r="D54" s="2">
        <f>Summary!E54</f>
        <v>160324820.59999999</v>
      </c>
      <c r="E54" t="s">
        <v>7</v>
      </c>
    </row>
    <row r="55" spans="1:5" x14ac:dyDescent="0.25">
      <c r="A55">
        <v>2112818961</v>
      </c>
      <c r="B55" t="s">
        <v>65</v>
      </c>
      <c r="C55" t="s">
        <v>59</v>
      </c>
      <c r="D55" s="2">
        <f>Summary!E55</f>
        <v>151878891.34999999</v>
      </c>
      <c r="E55" t="s">
        <v>7</v>
      </c>
    </row>
    <row r="56" spans="1:5" x14ac:dyDescent="0.25">
      <c r="A56">
        <v>275612501</v>
      </c>
      <c r="B56" t="s">
        <v>66</v>
      </c>
      <c r="C56" t="s">
        <v>59</v>
      </c>
      <c r="D56" s="2">
        <f>Summary!E56</f>
        <v>9155669.5899999999</v>
      </c>
      <c r="E56" t="s">
        <v>7</v>
      </c>
    </row>
    <row r="57" spans="1:5" x14ac:dyDescent="0.25">
      <c r="A57">
        <v>96153642</v>
      </c>
      <c r="B57" t="s">
        <v>67</v>
      </c>
      <c r="C57" t="s">
        <v>59</v>
      </c>
      <c r="D57" s="2">
        <f>Summary!E57</f>
        <v>176739469.50999999</v>
      </c>
      <c r="E57" t="s">
        <v>7</v>
      </c>
    </row>
    <row r="58" spans="1:5" x14ac:dyDescent="0.25">
      <c r="A58">
        <v>2115029714</v>
      </c>
      <c r="B58" t="s">
        <v>68</v>
      </c>
      <c r="C58" t="s">
        <v>59</v>
      </c>
      <c r="D58" s="2">
        <f>Summary!E58</f>
        <v>59977458.530000001</v>
      </c>
      <c r="E58" t="s">
        <v>7</v>
      </c>
    </row>
    <row r="59" spans="1:5" x14ac:dyDescent="0.25">
      <c r="A59">
        <v>2118186543</v>
      </c>
      <c r="B59" t="s">
        <v>69</v>
      </c>
      <c r="C59" t="s">
        <v>59</v>
      </c>
      <c r="D59" s="2">
        <f>Summary!E59</f>
        <v>309663095.67000002</v>
      </c>
      <c r="E59" t="s">
        <v>7</v>
      </c>
    </row>
    <row r="60" spans="1:5" x14ac:dyDescent="0.25">
      <c r="A60">
        <v>2120444806</v>
      </c>
      <c r="B60" t="s">
        <v>70</v>
      </c>
      <c r="C60" t="s">
        <v>59</v>
      </c>
      <c r="D60" s="2">
        <f>Summary!E60</f>
        <v>0</v>
      </c>
      <c r="E60" t="s">
        <v>7</v>
      </c>
    </row>
    <row r="61" spans="1:5" x14ac:dyDescent="0.25">
      <c r="A61">
        <v>2122274473</v>
      </c>
      <c r="B61" t="s">
        <v>71</v>
      </c>
      <c r="C61" t="s">
        <v>59</v>
      </c>
      <c r="D61" s="2">
        <f>Summary!E61</f>
        <v>151848042.24000001</v>
      </c>
      <c r="E61" t="s">
        <v>7</v>
      </c>
    </row>
    <row r="62" spans="1:5" x14ac:dyDescent="0.25">
      <c r="A62">
        <v>91602866</v>
      </c>
      <c r="B62" t="s">
        <v>72</v>
      </c>
      <c r="C62" t="s">
        <v>59</v>
      </c>
      <c r="D62" s="2">
        <f>Summary!E62</f>
        <v>0</v>
      </c>
      <c r="E62">
        <v>0</v>
      </c>
    </row>
    <row r="63" spans="1:5" x14ac:dyDescent="0.25">
      <c r="A63">
        <v>93119770</v>
      </c>
      <c r="B63" t="s">
        <v>73</v>
      </c>
      <c r="C63" t="s">
        <v>59</v>
      </c>
      <c r="D63" s="2">
        <f>Summary!E63</f>
        <v>106913638.38</v>
      </c>
      <c r="E63" t="s">
        <v>7</v>
      </c>
    </row>
    <row r="64" spans="1:5" x14ac:dyDescent="0.25">
      <c r="A64">
        <v>2114448223</v>
      </c>
      <c r="B64" t="s">
        <v>74</v>
      </c>
      <c r="C64" t="s">
        <v>59</v>
      </c>
      <c r="D64" s="2">
        <f>Summary!E64</f>
        <v>0</v>
      </c>
      <c r="E64" t="s">
        <v>7</v>
      </c>
    </row>
    <row r="65" spans="1:5" x14ac:dyDescent="0.25">
      <c r="A65">
        <v>93013209</v>
      </c>
      <c r="B65" t="s">
        <v>75</v>
      </c>
      <c r="C65" t="s">
        <v>59</v>
      </c>
      <c r="D65" s="2">
        <f>Summary!E65</f>
        <v>0</v>
      </c>
      <c r="E65" t="s">
        <v>7</v>
      </c>
    </row>
    <row r="66" spans="1:5" x14ac:dyDescent="0.25">
      <c r="A66">
        <v>2114341338</v>
      </c>
      <c r="B66" t="s">
        <v>76</v>
      </c>
      <c r="C66" t="s">
        <v>59</v>
      </c>
      <c r="D66" s="2">
        <f>Summary!E66</f>
        <v>0</v>
      </c>
      <c r="E66" t="s">
        <v>7</v>
      </c>
    </row>
    <row r="67" spans="1:5" x14ac:dyDescent="0.25">
      <c r="A67">
        <v>2117812488</v>
      </c>
      <c r="B67" t="s">
        <v>77</v>
      </c>
      <c r="C67" t="s">
        <v>59</v>
      </c>
      <c r="D67" s="2">
        <f>Summary!E67</f>
        <v>151605500.46000001</v>
      </c>
      <c r="E67" t="s">
        <v>7</v>
      </c>
    </row>
    <row r="68" spans="1:5" x14ac:dyDescent="0.25">
      <c r="A68">
        <v>2114811936</v>
      </c>
      <c r="B68" t="s">
        <v>78</v>
      </c>
      <c r="C68" t="s">
        <v>59</v>
      </c>
      <c r="D68" s="2">
        <f>Summary!E68</f>
        <v>0</v>
      </c>
      <c r="E68" t="s">
        <v>7</v>
      </c>
    </row>
    <row r="69" spans="1:5" x14ac:dyDescent="0.25">
      <c r="A69">
        <v>90102171</v>
      </c>
      <c r="B69" t="s">
        <v>79</v>
      </c>
      <c r="C69" t="s">
        <v>59</v>
      </c>
      <c r="D69" s="2">
        <f>Summary!E69</f>
        <v>0</v>
      </c>
      <c r="E69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F141"/>
  <sheetViews>
    <sheetView topLeftCell="A127" workbookViewId="0">
      <selection activeCell="F13" sqref="F13"/>
    </sheetView>
  </sheetViews>
  <sheetFormatPr defaultRowHeight="15" x14ac:dyDescent="0.25"/>
  <cols>
    <col min="1" max="1" width="32.140625" customWidth="1"/>
    <col min="2" max="2" width="19.140625" customWidth="1"/>
    <col min="3" max="3" width="18" customWidth="1"/>
    <col min="4" max="4" width="22.7109375" customWidth="1"/>
    <col min="5" max="5" width="39.140625" customWidth="1"/>
    <col min="6" max="6" width="39.85546875" customWidth="1"/>
  </cols>
  <sheetData>
    <row r="1" spans="1:6" x14ac:dyDescent="0.25">
      <c r="A1" s="1" t="s">
        <v>1</v>
      </c>
      <c r="B1" s="1" t="s">
        <v>2</v>
      </c>
      <c r="C1" s="1" t="s">
        <v>80</v>
      </c>
      <c r="D1" s="1" t="s">
        <v>81</v>
      </c>
      <c r="E1" s="1" t="s">
        <v>82</v>
      </c>
      <c r="F1" s="1" t="s">
        <v>83</v>
      </c>
    </row>
    <row r="2" spans="1:6" x14ac:dyDescent="0.25">
      <c r="A2" t="s">
        <v>5</v>
      </c>
      <c r="B2" t="s">
        <v>6</v>
      </c>
      <c r="C2" t="s">
        <v>84</v>
      </c>
      <c r="D2" s="2">
        <v>152937837.61000001</v>
      </c>
      <c r="E2" t="s">
        <v>85</v>
      </c>
      <c r="F2" s="5" t="s">
        <v>86</v>
      </c>
    </row>
    <row r="3" spans="1:6" x14ac:dyDescent="0.25">
      <c r="A3" t="s">
        <v>8</v>
      </c>
      <c r="B3" t="s">
        <v>6</v>
      </c>
      <c r="C3" t="s">
        <v>84</v>
      </c>
      <c r="D3" s="2">
        <v>243356357.12</v>
      </c>
      <c r="E3" t="s">
        <v>87</v>
      </c>
      <c r="F3" s="5" t="s">
        <v>88</v>
      </c>
    </row>
    <row r="4" spans="1:6" x14ac:dyDescent="0.25">
      <c r="A4" t="s">
        <v>9</v>
      </c>
      <c r="B4" t="s">
        <v>6</v>
      </c>
      <c r="C4" t="s">
        <v>89</v>
      </c>
      <c r="D4" s="2">
        <v>0</v>
      </c>
      <c r="E4" t="s">
        <v>90</v>
      </c>
      <c r="F4" s="5" t="s">
        <v>91</v>
      </c>
    </row>
    <row r="5" spans="1:6" x14ac:dyDescent="0.25">
      <c r="A5" t="s">
        <v>10</v>
      </c>
      <c r="B5" t="s">
        <v>6</v>
      </c>
      <c r="C5" t="s">
        <v>89</v>
      </c>
      <c r="D5" s="2">
        <v>253371772.31999999</v>
      </c>
      <c r="E5" t="s">
        <v>92</v>
      </c>
      <c r="F5" s="5" t="s">
        <v>93</v>
      </c>
    </row>
    <row r="6" spans="1:6" x14ac:dyDescent="0.25">
      <c r="A6" t="s">
        <v>11</v>
      </c>
      <c r="B6" t="s">
        <v>6</v>
      </c>
      <c r="C6" t="s">
        <v>89</v>
      </c>
      <c r="D6" s="2">
        <v>0</v>
      </c>
      <c r="E6" t="s">
        <v>94</v>
      </c>
      <c r="F6" s="5" t="s">
        <v>95</v>
      </c>
    </row>
    <row r="7" spans="1:6" x14ac:dyDescent="0.25">
      <c r="A7" t="s">
        <v>12</v>
      </c>
      <c r="B7" t="s">
        <v>13</v>
      </c>
      <c r="C7" t="s">
        <v>84</v>
      </c>
      <c r="D7" s="2">
        <v>204773764.36000001</v>
      </c>
      <c r="E7" t="s">
        <v>96</v>
      </c>
      <c r="F7" s="5" t="s">
        <v>97</v>
      </c>
    </row>
    <row r="8" spans="1:6" x14ac:dyDescent="0.25">
      <c r="A8" t="s">
        <v>12</v>
      </c>
      <c r="B8" t="s">
        <v>13</v>
      </c>
      <c r="C8" t="s">
        <v>89</v>
      </c>
      <c r="D8" s="2">
        <v>302633741.07999998</v>
      </c>
      <c r="E8" t="s">
        <v>98</v>
      </c>
      <c r="F8" s="5" t="s">
        <v>99</v>
      </c>
    </row>
    <row r="9" spans="1:6" x14ac:dyDescent="0.25">
      <c r="A9" t="s">
        <v>12</v>
      </c>
      <c r="B9" t="s">
        <v>13</v>
      </c>
      <c r="C9" t="s">
        <v>89</v>
      </c>
      <c r="D9" s="2">
        <v>905481080.59000003</v>
      </c>
      <c r="E9" t="s">
        <v>100</v>
      </c>
      <c r="F9" s="5" t="s">
        <v>101</v>
      </c>
    </row>
    <row r="10" spans="1:6" x14ac:dyDescent="0.25">
      <c r="A10" t="s">
        <v>12</v>
      </c>
      <c r="B10" t="s">
        <v>13</v>
      </c>
      <c r="C10" t="s">
        <v>102</v>
      </c>
      <c r="D10" s="2">
        <v>51477291.380000003</v>
      </c>
      <c r="E10" t="s">
        <v>103</v>
      </c>
      <c r="F10" s="5" t="s">
        <v>104</v>
      </c>
    </row>
    <row r="11" spans="1:6" x14ac:dyDescent="0.25">
      <c r="A11" t="s">
        <v>12</v>
      </c>
      <c r="B11" t="s">
        <v>13</v>
      </c>
      <c r="C11" t="s">
        <v>102</v>
      </c>
      <c r="D11" s="2">
        <v>36100112.240000002</v>
      </c>
      <c r="E11" t="s">
        <v>105</v>
      </c>
      <c r="F11" s="5" t="s">
        <v>106</v>
      </c>
    </row>
    <row r="12" spans="1:6" x14ac:dyDescent="0.25">
      <c r="A12" t="s">
        <v>14</v>
      </c>
      <c r="B12" t="s">
        <v>13</v>
      </c>
      <c r="C12" t="s">
        <v>89</v>
      </c>
      <c r="D12" s="2">
        <v>368524581.58999997</v>
      </c>
      <c r="E12" t="s">
        <v>107</v>
      </c>
      <c r="F12" s="5" t="s">
        <v>108</v>
      </c>
    </row>
    <row r="13" spans="1:6" x14ac:dyDescent="0.25">
      <c r="A13" t="s">
        <v>14</v>
      </c>
      <c r="B13" t="s">
        <v>13</v>
      </c>
      <c r="C13" t="s">
        <v>89</v>
      </c>
      <c r="D13" s="2">
        <v>870707399.70000005</v>
      </c>
      <c r="E13" t="s">
        <v>109</v>
      </c>
      <c r="F13" s="5" t="s">
        <v>110</v>
      </c>
    </row>
    <row r="14" spans="1:6" x14ac:dyDescent="0.25">
      <c r="A14" t="s">
        <v>15</v>
      </c>
      <c r="B14" t="s">
        <v>13</v>
      </c>
      <c r="C14" t="s">
        <v>89</v>
      </c>
      <c r="D14" s="2">
        <v>0</v>
      </c>
      <c r="E14" t="s">
        <v>111</v>
      </c>
      <c r="F14" s="5" t="s">
        <v>112</v>
      </c>
    </row>
    <row r="15" spans="1:6" x14ac:dyDescent="0.25">
      <c r="A15" t="s">
        <v>16</v>
      </c>
      <c r="B15" t="s">
        <v>13</v>
      </c>
      <c r="C15" t="s">
        <v>84</v>
      </c>
      <c r="D15" s="2">
        <v>152015979.36000001</v>
      </c>
      <c r="E15" t="s">
        <v>113</v>
      </c>
      <c r="F15" s="5" t="s">
        <v>114</v>
      </c>
    </row>
    <row r="16" spans="1:6" x14ac:dyDescent="0.25">
      <c r="A16" t="s">
        <v>16</v>
      </c>
      <c r="B16" t="s">
        <v>13</v>
      </c>
      <c r="C16" t="s">
        <v>84</v>
      </c>
      <c r="D16" s="2">
        <v>151869981.18000001</v>
      </c>
      <c r="E16" t="s">
        <v>115</v>
      </c>
      <c r="F16" s="5" t="s">
        <v>116</v>
      </c>
    </row>
    <row r="17" spans="1:6" x14ac:dyDescent="0.25">
      <c r="A17" t="s">
        <v>17</v>
      </c>
      <c r="B17" t="s">
        <v>13</v>
      </c>
      <c r="C17" t="s">
        <v>117</v>
      </c>
      <c r="D17" s="2">
        <v>-151623115.69999999</v>
      </c>
      <c r="E17" t="s">
        <v>118</v>
      </c>
      <c r="F17" s="5" t="s">
        <v>119</v>
      </c>
    </row>
    <row r="18" spans="1:6" x14ac:dyDescent="0.25">
      <c r="A18" t="s">
        <v>17</v>
      </c>
      <c r="B18" t="s">
        <v>13</v>
      </c>
      <c r="C18" t="s">
        <v>102</v>
      </c>
      <c r="D18" s="2">
        <v>2861698.33</v>
      </c>
      <c r="E18" t="s">
        <v>120</v>
      </c>
      <c r="F18" s="5" t="s">
        <v>121</v>
      </c>
    </row>
    <row r="19" spans="1:6" x14ac:dyDescent="0.25">
      <c r="A19" t="s">
        <v>19</v>
      </c>
      <c r="B19" t="s">
        <v>20</v>
      </c>
      <c r="C19" t="s">
        <v>89</v>
      </c>
      <c r="D19" s="2">
        <v>312416627.60000002</v>
      </c>
      <c r="E19" t="s">
        <v>122</v>
      </c>
      <c r="F19" s="5" t="s">
        <v>123</v>
      </c>
    </row>
    <row r="20" spans="1:6" x14ac:dyDescent="0.25">
      <c r="A20" t="s">
        <v>21</v>
      </c>
      <c r="B20" t="s">
        <v>20</v>
      </c>
      <c r="C20" t="s">
        <v>89</v>
      </c>
      <c r="D20" s="2">
        <v>679594272.21000004</v>
      </c>
      <c r="E20" t="s">
        <v>124</v>
      </c>
      <c r="F20" s="5" t="s">
        <v>125</v>
      </c>
    </row>
    <row r="21" spans="1:6" x14ac:dyDescent="0.25">
      <c r="A21" t="s">
        <v>22</v>
      </c>
      <c r="B21" t="s">
        <v>20</v>
      </c>
      <c r="C21" t="s">
        <v>126</v>
      </c>
      <c r="D21" s="2">
        <v>73856500.959999993</v>
      </c>
      <c r="E21" t="s">
        <v>127</v>
      </c>
      <c r="F21" s="5" t="s">
        <v>128</v>
      </c>
    </row>
    <row r="22" spans="1:6" x14ac:dyDescent="0.25">
      <c r="A22" t="s">
        <v>23</v>
      </c>
      <c r="B22" t="s">
        <v>20</v>
      </c>
      <c r="C22" t="s">
        <v>84</v>
      </c>
      <c r="D22" s="2">
        <v>153962862.59</v>
      </c>
      <c r="E22" t="s">
        <v>129</v>
      </c>
      <c r="F22" s="5" t="s">
        <v>130</v>
      </c>
    </row>
    <row r="23" spans="1:6" x14ac:dyDescent="0.25">
      <c r="A23" t="s">
        <v>24</v>
      </c>
      <c r="B23" t="s">
        <v>20</v>
      </c>
      <c r="C23" t="s">
        <v>89</v>
      </c>
      <c r="D23" s="2">
        <v>280719081.58999997</v>
      </c>
      <c r="E23" t="s">
        <v>131</v>
      </c>
      <c r="F23" s="5" t="s">
        <v>132</v>
      </c>
    </row>
    <row r="24" spans="1:6" x14ac:dyDescent="0.25">
      <c r="A24" t="s">
        <v>24</v>
      </c>
      <c r="B24" t="s">
        <v>20</v>
      </c>
      <c r="C24" t="s">
        <v>89</v>
      </c>
      <c r="D24" s="2">
        <v>284563533.94999999</v>
      </c>
      <c r="E24" t="s">
        <v>133</v>
      </c>
      <c r="F24" s="5" t="s">
        <v>134</v>
      </c>
    </row>
    <row r="25" spans="1:6" x14ac:dyDescent="0.25">
      <c r="A25" t="s">
        <v>25</v>
      </c>
      <c r="B25" t="s">
        <v>20</v>
      </c>
      <c r="C25" t="s">
        <v>89</v>
      </c>
      <c r="D25" s="2">
        <v>327072054.42000002</v>
      </c>
      <c r="E25" t="s">
        <v>135</v>
      </c>
      <c r="F25" s="5" t="s">
        <v>136</v>
      </c>
    </row>
    <row r="26" spans="1:6" x14ac:dyDescent="0.25">
      <c r="A26" t="s">
        <v>25</v>
      </c>
      <c r="B26" t="s">
        <v>20</v>
      </c>
      <c r="C26" t="s">
        <v>89</v>
      </c>
      <c r="D26" s="2">
        <v>327072054.42000002</v>
      </c>
      <c r="E26" t="s">
        <v>137</v>
      </c>
      <c r="F26" s="5" t="s">
        <v>138</v>
      </c>
    </row>
    <row r="27" spans="1:6" x14ac:dyDescent="0.25">
      <c r="A27" t="s">
        <v>25</v>
      </c>
      <c r="B27" t="s">
        <v>20</v>
      </c>
      <c r="C27" t="s">
        <v>89</v>
      </c>
      <c r="D27" s="2">
        <v>335666202.19999999</v>
      </c>
      <c r="E27" t="s">
        <v>139</v>
      </c>
      <c r="F27" s="5" t="s">
        <v>140</v>
      </c>
    </row>
    <row r="28" spans="1:6" x14ac:dyDescent="0.25">
      <c r="A28" t="s">
        <v>26</v>
      </c>
      <c r="B28" t="s">
        <v>20</v>
      </c>
      <c r="C28" t="s">
        <v>89</v>
      </c>
      <c r="D28" s="2">
        <v>261221362.69</v>
      </c>
      <c r="E28" t="s">
        <v>141</v>
      </c>
      <c r="F28" s="5" t="s">
        <v>142</v>
      </c>
    </row>
    <row r="29" spans="1:6" x14ac:dyDescent="0.25">
      <c r="A29" t="s">
        <v>27</v>
      </c>
      <c r="B29" t="s">
        <v>20</v>
      </c>
      <c r="C29" t="s">
        <v>126</v>
      </c>
      <c r="D29" s="2">
        <v>71228214.789999992</v>
      </c>
      <c r="E29" t="s">
        <v>143</v>
      </c>
      <c r="F29" s="5" t="s">
        <v>144</v>
      </c>
    </row>
    <row r="30" spans="1:6" x14ac:dyDescent="0.25">
      <c r="A30" t="s">
        <v>28</v>
      </c>
      <c r="B30" t="s">
        <v>20</v>
      </c>
      <c r="C30" t="s">
        <v>89</v>
      </c>
      <c r="D30" s="2">
        <v>261866125.12</v>
      </c>
      <c r="E30" t="s">
        <v>145</v>
      </c>
      <c r="F30" s="5" t="s">
        <v>146</v>
      </c>
    </row>
    <row r="31" spans="1:6" x14ac:dyDescent="0.25">
      <c r="A31" t="s">
        <v>29</v>
      </c>
      <c r="B31" t="s">
        <v>20</v>
      </c>
      <c r="C31" t="s">
        <v>89</v>
      </c>
      <c r="D31" s="2">
        <v>309394958.86000001</v>
      </c>
      <c r="E31" t="s">
        <v>147</v>
      </c>
      <c r="F31" s="5" t="s">
        <v>148</v>
      </c>
    </row>
    <row r="32" spans="1:6" x14ac:dyDescent="0.25">
      <c r="A32" t="s">
        <v>30</v>
      </c>
      <c r="B32" t="s">
        <v>20</v>
      </c>
      <c r="C32" t="s">
        <v>117</v>
      </c>
      <c r="D32" s="2">
        <v>0</v>
      </c>
      <c r="E32" t="s">
        <v>149</v>
      </c>
      <c r="F32" s="5" t="s">
        <v>150</v>
      </c>
    </row>
    <row r="33" spans="1:6" x14ac:dyDescent="0.25">
      <c r="A33" t="s">
        <v>30</v>
      </c>
      <c r="B33" t="s">
        <v>20</v>
      </c>
      <c r="C33" t="s">
        <v>102</v>
      </c>
      <c r="D33" s="2">
        <v>44478426.969999999</v>
      </c>
      <c r="E33" t="s">
        <v>151</v>
      </c>
      <c r="F33" s="5" t="s">
        <v>152</v>
      </c>
    </row>
    <row r="34" spans="1:6" x14ac:dyDescent="0.25">
      <c r="A34" t="s">
        <v>30</v>
      </c>
      <c r="B34" t="s">
        <v>20</v>
      </c>
      <c r="C34" t="s">
        <v>102</v>
      </c>
      <c r="D34" s="2">
        <v>34438685.82</v>
      </c>
      <c r="E34" t="s">
        <v>153</v>
      </c>
      <c r="F34" s="5" t="s">
        <v>154</v>
      </c>
    </row>
    <row r="35" spans="1:6" x14ac:dyDescent="0.25">
      <c r="A35" t="s">
        <v>31</v>
      </c>
      <c r="B35" t="s">
        <v>20</v>
      </c>
      <c r="C35" t="s">
        <v>84</v>
      </c>
      <c r="D35" s="2">
        <v>177604074.22</v>
      </c>
      <c r="E35" t="s">
        <v>155</v>
      </c>
      <c r="F35" s="5" t="s">
        <v>156</v>
      </c>
    </row>
    <row r="36" spans="1:6" x14ac:dyDescent="0.25">
      <c r="A36" t="s">
        <v>32</v>
      </c>
      <c r="B36" t="s">
        <v>20</v>
      </c>
      <c r="C36" t="s">
        <v>84</v>
      </c>
      <c r="D36" s="2">
        <v>181869294.38999999</v>
      </c>
      <c r="E36" t="s">
        <v>157</v>
      </c>
      <c r="F36" s="5" t="s">
        <v>158</v>
      </c>
    </row>
    <row r="37" spans="1:6" x14ac:dyDescent="0.25">
      <c r="A37" t="s">
        <v>32</v>
      </c>
      <c r="B37" t="s">
        <v>20</v>
      </c>
      <c r="C37" t="s">
        <v>89</v>
      </c>
      <c r="D37" s="2">
        <v>474410026.69999993</v>
      </c>
      <c r="E37" t="s">
        <v>159</v>
      </c>
      <c r="F37" s="5" t="s">
        <v>160</v>
      </c>
    </row>
    <row r="38" spans="1:6" x14ac:dyDescent="0.25">
      <c r="A38" t="s">
        <v>33</v>
      </c>
      <c r="B38" t="s">
        <v>20</v>
      </c>
      <c r="C38" t="s">
        <v>89</v>
      </c>
      <c r="D38" s="2">
        <v>71802789.329999998</v>
      </c>
      <c r="E38" t="s">
        <v>161</v>
      </c>
      <c r="F38" s="5" t="s">
        <v>162</v>
      </c>
    </row>
    <row r="39" spans="1:6" x14ac:dyDescent="0.25">
      <c r="A39" t="s">
        <v>33</v>
      </c>
      <c r="B39" t="s">
        <v>20</v>
      </c>
      <c r="C39" t="s">
        <v>89</v>
      </c>
      <c r="D39" s="2">
        <v>67886902.180000007</v>
      </c>
      <c r="E39" t="s">
        <v>163</v>
      </c>
      <c r="F39" s="5" t="s">
        <v>164</v>
      </c>
    </row>
    <row r="40" spans="1:6" x14ac:dyDescent="0.25">
      <c r="A40" t="s">
        <v>33</v>
      </c>
      <c r="B40" t="s">
        <v>20</v>
      </c>
      <c r="C40" t="s">
        <v>89</v>
      </c>
      <c r="D40" s="2">
        <v>67723149.670000002</v>
      </c>
      <c r="E40" t="s">
        <v>165</v>
      </c>
      <c r="F40" s="5" t="s">
        <v>166</v>
      </c>
    </row>
    <row r="41" spans="1:6" x14ac:dyDescent="0.25">
      <c r="A41" t="s">
        <v>34</v>
      </c>
      <c r="B41" t="s">
        <v>20</v>
      </c>
      <c r="C41" t="s">
        <v>89</v>
      </c>
      <c r="D41" s="2">
        <v>229488171.80000001</v>
      </c>
      <c r="E41" t="s">
        <v>167</v>
      </c>
      <c r="F41" s="5" t="s">
        <v>168</v>
      </c>
    </row>
    <row r="42" spans="1:6" x14ac:dyDescent="0.25">
      <c r="A42" t="s">
        <v>35</v>
      </c>
      <c r="B42" t="s">
        <v>20</v>
      </c>
      <c r="C42" t="s">
        <v>89</v>
      </c>
      <c r="D42" s="2">
        <v>256623181.16999999</v>
      </c>
      <c r="E42" t="s">
        <v>169</v>
      </c>
      <c r="F42" s="5" t="s">
        <v>170</v>
      </c>
    </row>
    <row r="43" spans="1:6" x14ac:dyDescent="0.25">
      <c r="A43" t="s">
        <v>36</v>
      </c>
      <c r="B43" t="s">
        <v>20</v>
      </c>
      <c r="C43" t="s">
        <v>89</v>
      </c>
      <c r="D43" s="2">
        <v>309663095.67000002</v>
      </c>
      <c r="E43" t="s">
        <v>171</v>
      </c>
      <c r="F43" s="5" t="s">
        <v>172</v>
      </c>
    </row>
    <row r="44" spans="1:6" x14ac:dyDescent="0.25">
      <c r="A44" t="s">
        <v>36</v>
      </c>
      <c r="B44" t="s">
        <v>20</v>
      </c>
      <c r="C44" t="s">
        <v>89</v>
      </c>
      <c r="D44" s="2">
        <v>312423935.95999998</v>
      </c>
      <c r="E44" t="s">
        <v>173</v>
      </c>
      <c r="F44" s="5" t="s">
        <v>174</v>
      </c>
    </row>
    <row r="45" spans="1:6" x14ac:dyDescent="0.25">
      <c r="A45" t="s">
        <v>37</v>
      </c>
      <c r="B45" t="s">
        <v>20</v>
      </c>
      <c r="C45" t="s">
        <v>89</v>
      </c>
      <c r="D45" s="2">
        <v>73405282.120000005</v>
      </c>
      <c r="E45" t="s">
        <v>175</v>
      </c>
      <c r="F45" s="5" t="s">
        <v>176</v>
      </c>
    </row>
    <row r="46" spans="1:6" x14ac:dyDescent="0.25">
      <c r="A46" t="s">
        <v>38</v>
      </c>
      <c r="B46" t="s">
        <v>20</v>
      </c>
      <c r="C46" t="s">
        <v>126</v>
      </c>
      <c r="D46" s="2">
        <v>80381627.329999998</v>
      </c>
      <c r="E46" t="s">
        <v>177</v>
      </c>
      <c r="F46" s="5" t="s">
        <v>178</v>
      </c>
    </row>
    <row r="47" spans="1:6" x14ac:dyDescent="0.25">
      <c r="A47" t="s">
        <v>38</v>
      </c>
      <c r="B47" t="s">
        <v>20</v>
      </c>
      <c r="C47" t="s">
        <v>126</v>
      </c>
      <c r="D47" s="2">
        <v>82433019.299999997</v>
      </c>
      <c r="E47" t="s">
        <v>179</v>
      </c>
      <c r="F47" s="5" t="s">
        <v>180</v>
      </c>
    </row>
    <row r="48" spans="1:6" x14ac:dyDescent="0.25">
      <c r="A48" t="s">
        <v>38</v>
      </c>
      <c r="B48" t="s">
        <v>20</v>
      </c>
      <c r="C48" t="s">
        <v>102</v>
      </c>
      <c r="D48" s="2">
        <v>40164531.490000002</v>
      </c>
      <c r="E48" t="s">
        <v>181</v>
      </c>
      <c r="F48" s="5" t="s">
        <v>182</v>
      </c>
    </row>
    <row r="49" spans="1:6" x14ac:dyDescent="0.25">
      <c r="A49" t="s">
        <v>39</v>
      </c>
      <c r="B49" t="s">
        <v>20</v>
      </c>
      <c r="C49" t="s">
        <v>84</v>
      </c>
      <c r="D49" s="2">
        <v>151534914.72</v>
      </c>
      <c r="E49" t="s">
        <v>183</v>
      </c>
      <c r="F49" s="5" t="s">
        <v>184</v>
      </c>
    </row>
    <row r="50" spans="1:6" x14ac:dyDescent="0.25">
      <c r="A50" t="s">
        <v>39</v>
      </c>
      <c r="B50" t="s">
        <v>20</v>
      </c>
      <c r="C50" t="s">
        <v>84</v>
      </c>
      <c r="D50" s="2">
        <v>151799752.56</v>
      </c>
      <c r="E50" t="s">
        <v>185</v>
      </c>
      <c r="F50" s="5" t="s">
        <v>186</v>
      </c>
    </row>
    <row r="51" spans="1:6" x14ac:dyDescent="0.25">
      <c r="A51" t="s">
        <v>39</v>
      </c>
      <c r="B51" t="s">
        <v>20</v>
      </c>
      <c r="C51" t="s">
        <v>84</v>
      </c>
      <c r="D51" s="2">
        <v>178860257.83000001</v>
      </c>
      <c r="E51" t="s">
        <v>187</v>
      </c>
      <c r="F51" s="5" t="s">
        <v>188</v>
      </c>
    </row>
    <row r="52" spans="1:6" x14ac:dyDescent="0.25">
      <c r="A52" t="s">
        <v>40</v>
      </c>
      <c r="B52" t="s">
        <v>20</v>
      </c>
      <c r="C52" t="s">
        <v>84</v>
      </c>
      <c r="D52" s="2">
        <v>152005906.56</v>
      </c>
      <c r="E52" t="s">
        <v>189</v>
      </c>
      <c r="F52" s="5" t="s">
        <v>190</v>
      </c>
    </row>
    <row r="53" spans="1:6" x14ac:dyDescent="0.25">
      <c r="A53" t="s">
        <v>40</v>
      </c>
      <c r="B53" t="s">
        <v>20</v>
      </c>
      <c r="C53" t="s">
        <v>117</v>
      </c>
      <c r="D53" s="2">
        <v>0</v>
      </c>
      <c r="E53" t="s">
        <v>191</v>
      </c>
      <c r="F53" s="5" t="s">
        <v>192</v>
      </c>
    </row>
    <row r="54" spans="1:6" x14ac:dyDescent="0.25">
      <c r="A54" t="s">
        <v>41</v>
      </c>
      <c r="B54" t="s">
        <v>20</v>
      </c>
      <c r="C54" t="s">
        <v>84</v>
      </c>
      <c r="D54" s="2">
        <v>0</v>
      </c>
      <c r="E54" t="s">
        <v>193</v>
      </c>
      <c r="F54" s="5" t="s">
        <v>194</v>
      </c>
    </row>
    <row r="55" spans="1:6" x14ac:dyDescent="0.25">
      <c r="A55" t="s">
        <v>41</v>
      </c>
      <c r="B55" t="s">
        <v>20</v>
      </c>
      <c r="C55" t="s">
        <v>89</v>
      </c>
      <c r="D55" s="2">
        <v>0</v>
      </c>
      <c r="E55" t="s">
        <v>195</v>
      </c>
      <c r="F55" s="5" t="s">
        <v>196</v>
      </c>
    </row>
    <row r="56" spans="1:6" x14ac:dyDescent="0.25">
      <c r="A56" t="s">
        <v>41</v>
      </c>
      <c r="B56" t="s">
        <v>20</v>
      </c>
      <c r="C56" t="s">
        <v>89</v>
      </c>
      <c r="D56" s="2">
        <v>367752688.37</v>
      </c>
      <c r="E56" t="s">
        <v>197</v>
      </c>
      <c r="F56" s="5" t="s">
        <v>198</v>
      </c>
    </row>
    <row r="57" spans="1:6" x14ac:dyDescent="0.25">
      <c r="A57" t="s">
        <v>42</v>
      </c>
      <c r="B57" t="s">
        <v>20</v>
      </c>
      <c r="C57" t="s">
        <v>84</v>
      </c>
      <c r="D57" s="2">
        <v>106905010.38</v>
      </c>
      <c r="E57" t="s">
        <v>199</v>
      </c>
      <c r="F57" s="5" t="s">
        <v>200</v>
      </c>
    </row>
    <row r="58" spans="1:6" x14ac:dyDescent="0.25">
      <c r="A58" t="s">
        <v>43</v>
      </c>
      <c r="B58" t="s">
        <v>20</v>
      </c>
      <c r="C58" t="s">
        <v>84</v>
      </c>
      <c r="D58" s="2">
        <v>152501212.06</v>
      </c>
      <c r="E58" t="s">
        <v>201</v>
      </c>
      <c r="F58" s="5" t="s">
        <v>202</v>
      </c>
    </row>
    <row r="59" spans="1:6" x14ac:dyDescent="0.25">
      <c r="A59" t="s">
        <v>43</v>
      </c>
      <c r="B59" t="s">
        <v>20</v>
      </c>
      <c r="C59" t="s">
        <v>117</v>
      </c>
      <c r="D59" s="2">
        <v>0</v>
      </c>
      <c r="E59" t="s">
        <v>203</v>
      </c>
      <c r="F59" s="5" t="s">
        <v>204</v>
      </c>
    </row>
    <row r="60" spans="1:6" x14ac:dyDescent="0.25">
      <c r="A60" t="s">
        <v>44</v>
      </c>
      <c r="B60" t="s">
        <v>20</v>
      </c>
      <c r="C60" t="s">
        <v>84</v>
      </c>
      <c r="D60" s="2">
        <v>151810316.16</v>
      </c>
      <c r="E60" t="s">
        <v>205</v>
      </c>
      <c r="F60" s="5" t="s">
        <v>206</v>
      </c>
    </row>
    <row r="61" spans="1:6" x14ac:dyDescent="0.25">
      <c r="A61" t="s">
        <v>45</v>
      </c>
      <c r="B61" t="s">
        <v>20</v>
      </c>
      <c r="C61" t="s">
        <v>89</v>
      </c>
      <c r="D61" s="2">
        <v>255992605.38</v>
      </c>
      <c r="E61" t="s">
        <v>207</v>
      </c>
      <c r="F61" s="5" t="s">
        <v>208</v>
      </c>
    </row>
    <row r="62" spans="1:6" x14ac:dyDescent="0.25">
      <c r="A62" t="s">
        <v>46</v>
      </c>
      <c r="B62" t="s">
        <v>20</v>
      </c>
      <c r="C62" t="s">
        <v>126</v>
      </c>
      <c r="D62" s="2">
        <v>47882262.510000013</v>
      </c>
      <c r="E62" t="s">
        <v>209</v>
      </c>
      <c r="F62" s="5" t="s">
        <v>210</v>
      </c>
    </row>
    <row r="63" spans="1:6" x14ac:dyDescent="0.25">
      <c r="A63" t="s">
        <v>47</v>
      </c>
      <c r="B63" t="s">
        <v>20</v>
      </c>
      <c r="C63" t="s">
        <v>89</v>
      </c>
      <c r="D63" s="2">
        <v>263026968.81</v>
      </c>
      <c r="E63" t="s">
        <v>211</v>
      </c>
      <c r="F63" s="5" t="s">
        <v>212</v>
      </c>
    </row>
    <row r="64" spans="1:6" x14ac:dyDescent="0.25">
      <c r="A64" t="s">
        <v>48</v>
      </c>
      <c r="B64" t="s">
        <v>20</v>
      </c>
      <c r="C64" t="s">
        <v>89</v>
      </c>
      <c r="D64" s="2">
        <v>60615375.38000001</v>
      </c>
      <c r="E64" t="s">
        <v>213</v>
      </c>
      <c r="F64" s="5" t="s">
        <v>214</v>
      </c>
    </row>
    <row r="65" spans="1:6" x14ac:dyDescent="0.25">
      <c r="A65" t="s">
        <v>48</v>
      </c>
      <c r="B65" t="s">
        <v>20</v>
      </c>
      <c r="C65" t="s">
        <v>89</v>
      </c>
      <c r="D65" s="2">
        <v>61512861.49000001</v>
      </c>
      <c r="E65" t="s">
        <v>215</v>
      </c>
      <c r="F65" s="5" t="s">
        <v>216</v>
      </c>
    </row>
    <row r="66" spans="1:6" x14ac:dyDescent="0.25">
      <c r="A66" t="s">
        <v>48</v>
      </c>
      <c r="B66" t="s">
        <v>20</v>
      </c>
      <c r="C66" t="s">
        <v>89</v>
      </c>
      <c r="D66" s="2">
        <v>61642740.219999999</v>
      </c>
      <c r="E66" t="s">
        <v>217</v>
      </c>
      <c r="F66" s="5" t="s">
        <v>218</v>
      </c>
    </row>
    <row r="67" spans="1:6" x14ac:dyDescent="0.25">
      <c r="A67" t="s">
        <v>48</v>
      </c>
      <c r="B67" t="s">
        <v>20</v>
      </c>
      <c r="C67" t="s">
        <v>89</v>
      </c>
      <c r="D67" s="2">
        <v>65220007.159999996</v>
      </c>
      <c r="E67" t="s">
        <v>219</v>
      </c>
      <c r="F67" s="5" t="s">
        <v>220</v>
      </c>
    </row>
    <row r="68" spans="1:6" x14ac:dyDescent="0.25">
      <c r="A68" t="s">
        <v>48</v>
      </c>
      <c r="B68" t="s">
        <v>20</v>
      </c>
      <c r="C68" t="s">
        <v>102</v>
      </c>
      <c r="D68" s="2">
        <v>89338090.359999999</v>
      </c>
      <c r="E68" t="s">
        <v>221</v>
      </c>
      <c r="F68" s="5" t="s">
        <v>222</v>
      </c>
    </row>
    <row r="69" spans="1:6" x14ac:dyDescent="0.25">
      <c r="A69" t="s">
        <v>48</v>
      </c>
      <c r="B69" t="s">
        <v>20</v>
      </c>
      <c r="C69" t="s">
        <v>102</v>
      </c>
      <c r="D69" s="2">
        <v>41403544.979999997</v>
      </c>
      <c r="E69" t="s">
        <v>223</v>
      </c>
      <c r="F69" s="5" t="s">
        <v>224</v>
      </c>
    </row>
    <row r="70" spans="1:6" x14ac:dyDescent="0.25">
      <c r="A70" t="s">
        <v>48</v>
      </c>
      <c r="B70" t="s">
        <v>20</v>
      </c>
      <c r="C70" t="s">
        <v>102</v>
      </c>
      <c r="D70" s="2">
        <v>95525684.319999993</v>
      </c>
      <c r="E70" t="s">
        <v>225</v>
      </c>
      <c r="F70" s="5" t="s">
        <v>226</v>
      </c>
    </row>
    <row r="71" spans="1:6" x14ac:dyDescent="0.25">
      <c r="A71" t="s">
        <v>48</v>
      </c>
      <c r="B71" t="s">
        <v>20</v>
      </c>
      <c r="C71" t="s">
        <v>102</v>
      </c>
      <c r="D71" s="2">
        <v>95524767.969999999</v>
      </c>
      <c r="E71" t="s">
        <v>227</v>
      </c>
      <c r="F71" s="5" t="s">
        <v>228</v>
      </c>
    </row>
    <row r="72" spans="1:6" x14ac:dyDescent="0.25">
      <c r="A72" t="s">
        <v>48</v>
      </c>
      <c r="B72" t="s">
        <v>20</v>
      </c>
      <c r="C72" t="s">
        <v>102</v>
      </c>
      <c r="D72" s="2">
        <v>95525684.319999993</v>
      </c>
      <c r="E72" t="s">
        <v>229</v>
      </c>
      <c r="F72" s="5" t="s">
        <v>230</v>
      </c>
    </row>
    <row r="73" spans="1:6" x14ac:dyDescent="0.25">
      <c r="A73" t="s">
        <v>48</v>
      </c>
      <c r="B73" t="s">
        <v>20</v>
      </c>
      <c r="C73" t="s">
        <v>102</v>
      </c>
      <c r="D73" s="2">
        <v>91805100.109999999</v>
      </c>
      <c r="E73" t="s">
        <v>231</v>
      </c>
      <c r="F73" s="5" t="s">
        <v>232</v>
      </c>
    </row>
    <row r="74" spans="1:6" x14ac:dyDescent="0.25">
      <c r="A74" t="s">
        <v>48</v>
      </c>
      <c r="B74" t="s">
        <v>20</v>
      </c>
      <c r="C74" t="s">
        <v>102</v>
      </c>
      <c r="D74" s="2">
        <v>118571948.44</v>
      </c>
      <c r="E74" t="s">
        <v>233</v>
      </c>
      <c r="F74" s="5" t="s">
        <v>234</v>
      </c>
    </row>
    <row r="75" spans="1:6" x14ac:dyDescent="0.25">
      <c r="A75" t="s">
        <v>48</v>
      </c>
      <c r="B75" t="s">
        <v>20</v>
      </c>
      <c r="C75" t="s">
        <v>102</v>
      </c>
      <c r="D75" s="2">
        <v>89906837</v>
      </c>
      <c r="E75" t="s">
        <v>235</v>
      </c>
      <c r="F75" s="5" t="s">
        <v>236</v>
      </c>
    </row>
    <row r="76" spans="1:6" x14ac:dyDescent="0.25">
      <c r="A76" t="s">
        <v>48</v>
      </c>
      <c r="B76" t="s">
        <v>20</v>
      </c>
      <c r="C76" t="s">
        <v>102</v>
      </c>
      <c r="D76" s="2">
        <v>119289198.39</v>
      </c>
      <c r="E76" t="s">
        <v>237</v>
      </c>
      <c r="F76" s="5" t="s">
        <v>238</v>
      </c>
    </row>
    <row r="77" spans="1:6" x14ac:dyDescent="0.25">
      <c r="A77" t="s">
        <v>48</v>
      </c>
      <c r="B77" t="s">
        <v>20</v>
      </c>
      <c r="C77" t="s">
        <v>102</v>
      </c>
      <c r="D77" s="2">
        <v>119439875.34999999</v>
      </c>
      <c r="E77" t="s">
        <v>239</v>
      </c>
      <c r="F77" s="5" t="s">
        <v>240</v>
      </c>
    </row>
    <row r="78" spans="1:6" x14ac:dyDescent="0.25">
      <c r="A78" t="s">
        <v>49</v>
      </c>
      <c r="B78" t="s">
        <v>20</v>
      </c>
      <c r="C78" t="s">
        <v>89</v>
      </c>
      <c r="D78" s="2">
        <v>403004154.67000002</v>
      </c>
      <c r="E78" s="6" t="s">
        <v>241</v>
      </c>
      <c r="F78" s="5" t="s">
        <v>242</v>
      </c>
    </row>
    <row r="79" spans="1:6" x14ac:dyDescent="0.25">
      <c r="A79" t="s">
        <v>49</v>
      </c>
      <c r="B79" t="s">
        <v>20</v>
      </c>
      <c r="C79" t="s">
        <v>89</v>
      </c>
      <c r="D79" s="2">
        <v>370829750.38999999</v>
      </c>
      <c r="E79" s="6" t="s">
        <v>243</v>
      </c>
      <c r="F79" s="5" t="s">
        <v>244</v>
      </c>
    </row>
    <row r="80" spans="1:6" x14ac:dyDescent="0.25">
      <c r="A80" t="s">
        <v>50</v>
      </c>
      <c r="B80" t="s">
        <v>20</v>
      </c>
      <c r="C80" t="s">
        <v>126</v>
      </c>
      <c r="D80" s="2">
        <v>71139682.049999997</v>
      </c>
      <c r="E80" s="6" t="s">
        <v>245</v>
      </c>
      <c r="F80" s="5" t="s">
        <v>246</v>
      </c>
    </row>
    <row r="81" spans="1:6" x14ac:dyDescent="0.25">
      <c r="A81" t="s">
        <v>50</v>
      </c>
      <c r="B81" t="s">
        <v>20</v>
      </c>
      <c r="C81" t="s">
        <v>126</v>
      </c>
      <c r="D81" s="2">
        <v>30863835.149999999</v>
      </c>
      <c r="E81" s="6" t="s">
        <v>247</v>
      </c>
      <c r="F81" s="5" t="s">
        <v>248</v>
      </c>
    </row>
    <row r="82" spans="1:6" x14ac:dyDescent="0.25">
      <c r="A82" t="s">
        <v>51</v>
      </c>
      <c r="B82" t="s">
        <v>20</v>
      </c>
      <c r="C82" t="s">
        <v>89</v>
      </c>
      <c r="D82" s="2">
        <v>299454095.63999999</v>
      </c>
      <c r="E82" s="6" t="s">
        <v>249</v>
      </c>
      <c r="F82" s="5" t="s">
        <v>250</v>
      </c>
    </row>
    <row r="83" spans="1:6" x14ac:dyDescent="0.25">
      <c r="A83" t="s">
        <v>51</v>
      </c>
      <c r="B83" t="s">
        <v>20</v>
      </c>
      <c r="C83" t="s">
        <v>89</v>
      </c>
      <c r="D83" s="2">
        <v>299450930.85000002</v>
      </c>
      <c r="E83" s="6" t="s">
        <v>251</v>
      </c>
      <c r="F83" s="5" t="s">
        <v>252</v>
      </c>
    </row>
    <row r="84" spans="1:6" x14ac:dyDescent="0.25">
      <c r="A84" t="s">
        <v>51</v>
      </c>
      <c r="B84" t="s">
        <v>20</v>
      </c>
      <c r="C84" t="s">
        <v>89</v>
      </c>
      <c r="D84" s="2">
        <v>303089371.95999998</v>
      </c>
      <c r="E84" s="6" t="s">
        <v>253</v>
      </c>
      <c r="F84" s="5" t="s">
        <v>254</v>
      </c>
    </row>
    <row r="85" spans="1:6" x14ac:dyDescent="0.25">
      <c r="A85" t="s">
        <v>51</v>
      </c>
      <c r="B85" t="s">
        <v>20</v>
      </c>
      <c r="C85" t="s">
        <v>89</v>
      </c>
      <c r="D85" s="2">
        <v>310041968.16000003</v>
      </c>
      <c r="E85" s="6" t="s">
        <v>255</v>
      </c>
      <c r="F85" s="5" t="s">
        <v>256</v>
      </c>
    </row>
    <row r="86" spans="1:6" x14ac:dyDescent="0.25">
      <c r="A86" t="s">
        <v>51</v>
      </c>
      <c r="B86" t="s">
        <v>20</v>
      </c>
      <c r="C86" t="s">
        <v>102</v>
      </c>
      <c r="D86" s="2">
        <v>40893425.57</v>
      </c>
      <c r="E86" s="6" t="s">
        <v>257</v>
      </c>
      <c r="F86" s="5" t="s">
        <v>258</v>
      </c>
    </row>
    <row r="87" spans="1:6" x14ac:dyDescent="0.25">
      <c r="A87" t="s">
        <v>52</v>
      </c>
      <c r="B87" t="s">
        <v>20</v>
      </c>
      <c r="C87" t="s">
        <v>84</v>
      </c>
      <c r="D87" s="2">
        <v>567724101.25999999</v>
      </c>
      <c r="E87" s="6" t="s">
        <v>259</v>
      </c>
      <c r="F87" s="5" t="s">
        <v>260</v>
      </c>
    </row>
    <row r="88" spans="1:6" x14ac:dyDescent="0.25">
      <c r="A88" t="s">
        <v>52</v>
      </c>
      <c r="B88" t="s">
        <v>20</v>
      </c>
      <c r="C88" t="s">
        <v>84</v>
      </c>
      <c r="D88" s="2">
        <v>243160981.46000001</v>
      </c>
      <c r="E88" s="6" t="s">
        <v>261</v>
      </c>
      <c r="F88" s="5" t="s">
        <v>262</v>
      </c>
    </row>
    <row r="89" spans="1:6" x14ac:dyDescent="0.25">
      <c r="A89" t="s">
        <v>52</v>
      </c>
      <c r="B89" t="s">
        <v>20</v>
      </c>
      <c r="C89" t="s">
        <v>89</v>
      </c>
      <c r="D89" s="2">
        <v>317510013.48000002</v>
      </c>
      <c r="E89" s="6" t="s">
        <v>263</v>
      </c>
      <c r="F89" s="5" t="s">
        <v>264</v>
      </c>
    </row>
    <row r="90" spans="1:6" x14ac:dyDescent="0.25">
      <c r="A90" t="s">
        <v>53</v>
      </c>
      <c r="B90" t="s">
        <v>20</v>
      </c>
      <c r="C90" t="s">
        <v>126</v>
      </c>
      <c r="D90" s="2">
        <v>46068482.539999999</v>
      </c>
      <c r="E90" s="6" t="s">
        <v>265</v>
      </c>
      <c r="F90" s="5" t="s">
        <v>266</v>
      </c>
    </row>
    <row r="91" spans="1:6" x14ac:dyDescent="0.25">
      <c r="A91" t="s">
        <v>54</v>
      </c>
      <c r="B91" t="s">
        <v>20</v>
      </c>
      <c r="C91" t="s">
        <v>84</v>
      </c>
      <c r="D91" s="2">
        <v>150983918.63999999</v>
      </c>
      <c r="E91" s="6" t="s">
        <v>267</v>
      </c>
      <c r="F91" s="5" t="s">
        <v>268</v>
      </c>
    </row>
    <row r="92" spans="1:6" x14ac:dyDescent="0.25">
      <c r="A92" t="s">
        <v>54</v>
      </c>
      <c r="B92" t="s">
        <v>20</v>
      </c>
      <c r="C92" t="s">
        <v>84</v>
      </c>
      <c r="D92" s="2">
        <v>152559662.13999999</v>
      </c>
      <c r="E92" s="6" t="s">
        <v>269</v>
      </c>
      <c r="F92" s="5" t="s">
        <v>270</v>
      </c>
    </row>
    <row r="93" spans="1:6" x14ac:dyDescent="0.25">
      <c r="A93" t="s">
        <v>54</v>
      </c>
      <c r="B93" t="s">
        <v>20</v>
      </c>
      <c r="C93" t="s">
        <v>84</v>
      </c>
      <c r="D93" s="2">
        <v>151937188.56</v>
      </c>
      <c r="E93" s="6" t="s">
        <v>271</v>
      </c>
      <c r="F93" s="5" t="s">
        <v>272</v>
      </c>
    </row>
    <row r="94" spans="1:6" x14ac:dyDescent="0.25">
      <c r="A94" t="s">
        <v>54</v>
      </c>
      <c r="B94" t="s">
        <v>20</v>
      </c>
      <c r="C94" t="s">
        <v>84</v>
      </c>
      <c r="D94" s="2">
        <v>243520098.25999999</v>
      </c>
      <c r="E94" s="6" t="s">
        <v>273</v>
      </c>
      <c r="F94" s="5" t="s">
        <v>274</v>
      </c>
    </row>
    <row r="95" spans="1:6" x14ac:dyDescent="0.25">
      <c r="A95" t="s">
        <v>54</v>
      </c>
      <c r="B95" t="s">
        <v>20</v>
      </c>
      <c r="C95" t="s">
        <v>117</v>
      </c>
      <c r="D95" s="2">
        <v>0</v>
      </c>
      <c r="E95" s="6" t="s">
        <v>275</v>
      </c>
      <c r="F95" s="5" t="s">
        <v>276</v>
      </c>
    </row>
    <row r="96" spans="1:6" x14ac:dyDescent="0.25">
      <c r="A96" t="s">
        <v>55</v>
      </c>
      <c r="B96" t="s">
        <v>20</v>
      </c>
      <c r="C96" t="s">
        <v>89</v>
      </c>
      <c r="D96" s="2">
        <v>263289163.63999999</v>
      </c>
      <c r="E96" s="6" t="s">
        <v>277</v>
      </c>
      <c r="F96" s="5" t="s">
        <v>278</v>
      </c>
    </row>
    <row r="97" spans="1:6" x14ac:dyDescent="0.25">
      <c r="A97" t="s">
        <v>55</v>
      </c>
      <c r="B97" t="s">
        <v>20</v>
      </c>
      <c r="C97" t="s">
        <v>126</v>
      </c>
      <c r="D97" s="2">
        <v>71096815.459999993</v>
      </c>
      <c r="E97" s="6" t="s">
        <v>279</v>
      </c>
      <c r="F97" s="5" t="s">
        <v>280</v>
      </c>
    </row>
    <row r="98" spans="1:6" x14ac:dyDescent="0.25">
      <c r="A98" t="s">
        <v>55</v>
      </c>
      <c r="B98" t="s">
        <v>20</v>
      </c>
      <c r="C98" t="s">
        <v>126</v>
      </c>
      <c r="D98" s="2">
        <v>70727042.439999998</v>
      </c>
      <c r="E98" t="s">
        <v>281</v>
      </c>
      <c r="F98" s="5" t="s">
        <v>282</v>
      </c>
    </row>
    <row r="99" spans="1:6" x14ac:dyDescent="0.25">
      <c r="A99" t="s">
        <v>55</v>
      </c>
      <c r="B99" t="s">
        <v>20</v>
      </c>
      <c r="C99" t="s">
        <v>126</v>
      </c>
      <c r="D99" s="2">
        <v>65751042.43</v>
      </c>
      <c r="E99" t="s">
        <v>283</v>
      </c>
      <c r="F99" s="5" t="s">
        <v>284</v>
      </c>
    </row>
    <row r="100" spans="1:6" x14ac:dyDescent="0.25">
      <c r="A100" t="s">
        <v>56</v>
      </c>
      <c r="B100" t="s">
        <v>57</v>
      </c>
      <c r="C100" t="s">
        <v>84</v>
      </c>
      <c r="D100" s="2">
        <v>0</v>
      </c>
      <c r="E100" t="s">
        <v>285</v>
      </c>
      <c r="F100" s="5" t="s">
        <v>286</v>
      </c>
    </row>
    <row r="101" spans="1:6" x14ac:dyDescent="0.25">
      <c r="A101" t="s">
        <v>56</v>
      </c>
      <c r="B101" t="s">
        <v>57</v>
      </c>
      <c r="C101" t="s">
        <v>126</v>
      </c>
      <c r="D101" s="2">
        <v>0</v>
      </c>
      <c r="E101" t="s">
        <v>287</v>
      </c>
      <c r="F101" s="5" t="s">
        <v>288</v>
      </c>
    </row>
    <row r="102" spans="1:6" x14ac:dyDescent="0.25">
      <c r="A102" t="s">
        <v>56</v>
      </c>
      <c r="B102" t="s">
        <v>57</v>
      </c>
      <c r="C102" t="s">
        <v>126</v>
      </c>
      <c r="D102" s="2">
        <v>0</v>
      </c>
      <c r="E102" t="s">
        <v>289</v>
      </c>
      <c r="F102" s="5" t="s">
        <v>290</v>
      </c>
    </row>
    <row r="103" spans="1:6" x14ac:dyDescent="0.25">
      <c r="A103" t="s">
        <v>56</v>
      </c>
      <c r="B103" t="s">
        <v>57</v>
      </c>
      <c r="C103" t="s">
        <v>102</v>
      </c>
      <c r="D103" s="2">
        <v>0</v>
      </c>
      <c r="E103" t="s">
        <v>291</v>
      </c>
      <c r="F103" s="5" t="s">
        <v>292</v>
      </c>
    </row>
    <row r="104" spans="1:6" x14ac:dyDescent="0.25">
      <c r="A104" t="s">
        <v>56</v>
      </c>
      <c r="B104" t="s">
        <v>57</v>
      </c>
      <c r="C104" t="s">
        <v>102</v>
      </c>
      <c r="D104" s="2">
        <v>0</v>
      </c>
      <c r="E104" t="s">
        <v>293</v>
      </c>
      <c r="F104" s="5" t="s">
        <v>294</v>
      </c>
    </row>
    <row r="105" spans="1:6" x14ac:dyDescent="0.25">
      <c r="A105" t="s">
        <v>58</v>
      </c>
      <c r="B105" t="s">
        <v>59</v>
      </c>
      <c r="C105" t="s">
        <v>84</v>
      </c>
      <c r="D105" s="2">
        <v>150709218.63999999</v>
      </c>
      <c r="E105" t="s">
        <v>295</v>
      </c>
      <c r="F105" s="5" t="s">
        <v>296</v>
      </c>
    </row>
    <row r="106" spans="1:6" x14ac:dyDescent="0.25">
      <c r="A106" t="s">
        <v>58</v>
      </c>
      <c r="B106" t="s">
        <v>59</v>
      </c>
      <c r="C106" t="s">
        <v>84</v>
      </c>
      <c r="D106" s="2">
        <v>0</v>
      </c>
      <c r="E106" t="s">
        <v>297</v>
      </c>
      <c r="F106" s="5" t="s">
        <v>298</v>
      </c>
    </row>
    <row r="107" spans="1:6" x14ac:dyDescent="0.25">
      <c r="A107" t="s">
        <v>60</v>
      </c>
      <c r="B107" t="s">
        <v>59</v>
      </c>
      <c r="C107" t="s">
        <v>126</v>
      </c>
      <c r="D107" s="2">
        <v>63844797.890000008</v>
      </c>
      <c r="E107" t="s">
        <v>299</v>
      </c>
      <c r="F107" s="5" t="s">
        <v>300</v>
      </c>
    </row>
    <row r="108" spans="1:6" x14ac:dyDescent="0.25">
      <c r="A108" t="s">
        <v>61</v>
      </c>
      <c r="B108" t="s">
        <v>59</v>
      </c>
      <c r="C108" t="s">
        <v>89</v>
      </c>
      <c r="D108" s="2">
        <v>303159766.95999998</v>
      </c>
      <c r="E108" t="s">
        <v>301</v>
      </c>
      <c r="F108" s="5" t="s">
        <v>302</v>
      </c>
    </row>
    <row r="109" spans="1:6" x14ac:dyDescent="0.25">
      <c r="A109" t="s">
        <v>62</v>
      </c>
      <c r="B109" t="s">
        <v>59</v>
      </c>
      <c r="C109" t="s">
        <v>89</v>
      </c>
      <c r="D109" s="2">
        <v>0</v>
      </c>
      <c r="E109" t="s">
        <v>303</v>
      </c>
      <c r="F109" s="5" t="s">
        <v>304</v>
      </c>
    </row>
    <row r="110" spans="1:6" x14ac:dyDescent="0.25">
      <c r="A110" t="s">
        <v>63</v>
      </c>
      <c r="B110" t="s">
        <v>59</v>
      </c>
      <c r="C110" t="s">
        <v>126</v>
      </c>
      <c r="D110" s="2">
        <v>0</v>
      </c>
      <c r="E110" t="s">
        <v>305</v>
      </c>
      <c r="F110" s="5" t="s">
        <v>306</v>
      </c>
    </row>
    <row r="111" spans="1:6" x14ac:dyDescent="0.25">
      <c r="A111" t="s">
        <v>63</v>
      </c>
      <c r="B111" t="s">
        <v>59</v>
      </c>
      <c r="C111" t="s">
        <v>102</v>
      </c>
      <c r="D111" s="2">
        <v>0</v>
      </c>
      <c r="E111" t="s">
        <v>307</v>
      </c>
      <c r="F111" s="5" t="s">
        <v>308</v>
      </c>
    </row>
    <row r="112" spans="1:6" x14ac:dyDescent="0.25">
      <c r="A112" t="s">
        <v>64</v>
      </c>
      <c r="B112" t="s">
        <v>59</v>
      </c>
      <c r="C112" t="s">
        <v>84</v>
      </c>
      <c r="D112" s="2">
        <v>159372192.21000001</v>
      </c>
      <c r="E112" t="s">
        <v>309</v>
      </c>
      <c r="F112" s="5" t="s">
        <v>310</v>
      </c>
    </row>
    <row r="113" spans="1:6" x14ac:dyDescent="0.25">
      <c r="A113" t="s">
        <v>64</v>
      </c>
      <c r="B113" t="s">
        <v>59</v>
      </c>
      <c r="C113" t="s">
        <v>102</v>
      </c>
      <c r="D113" s="2">
        <v>952628.39</v>
      </c>
      <c r="E113" t="s">
        <v>311</v>
      </c>
      <c r="F113" s="5" t="s">
        <v>312</v>
      </c>
    </row>
    <row r="114" spans="1:6" x14ac:dyDescent="0.25">
      <c r="A114" t="s">
        <v>65</v>
      </c>
      <c r="B114" t="s">
        <v>59</v>
      </c>
      <c r="C114" t="s">
        <v>84</v>
      </c>
      <c r="D114" s="2">
        <v>148488810.90000001</v>
      </c>
      <c r="E114" t="s">
        <v>313</v>
      </c>
      <c r="F114" s="5" t="s">
        <v>314</v>
      </c>
    </row>
    <row r="115" spans="1:6" x14ac:dyDescent="0.25">
      <c r="A115" t="s">
        <v>65</v>
      </c>
      <c r="B115" t="s">
        <v>59</v>
      </c>
      <c r="C115" t="s">
        <v>89</v>
      </c>
      <c r="D115" s="2">
        <v>0</v>
      </c>
      <c r="E115" t="s">
        <v>315</v>
      </c>
      <c r="F115" s="5" t="s">
        <v>316</v>
      </c>
    </row>
    <row r="116" spans="1:6" x14ac:dyDescent="0.25">
      <c r="A116" t="s">
        <v>65</v>
      </c>
      <c r="B116" t="s">
        <v>59</v>
      </c>
      <c r="C116" t="s">
        <v>102</v>
      </c>
      <c r="D116" s="2">
        <v>3390080.45</v>
      </c>
      <c r="E116" t="s">
        <v>317</v>
      </c>
      <c r="F116" s="5" t="s">
        <v>318</v>
      </c>
    </row>
    <row r="117" spans="1:6" x14ac:dyDescent="0.25">
      <c r="A117" t="s">
        <v>66</v>
      </c>
      <c r="B117" t="s">
        <v>59</v>
      </c>
      <c r="C117" t="s">
        <v>84</v>
      </c>
      <c r="D117" s="2">
        <v>0</v>
      </c>
      <c r="E117" t="s">
        <v>319</v>
      </c>
      <c r="F117" s="5" t="s">
        <v>320</v>
      </c>
    </row>
    <row r="118" spans="1:6" x14ac:dyDescent="0.25">
      <c r="A118" t="s">
        <v>66</v>
      </c>
      <c r="B118" t="s">
        <v>59</v>
      </c>
      <c r="C118" t="s">
        <v>102</v>
      </c>
      <c r="D118" s="2">
        <v>9155669.5899999999</v>
      </c>
      <c r="E118" t="s">
        <v>321</v>
      </c>
      <c r="F118" s="5" t="s">
        <v>322</v>
      </c>
    </row>
    <row r="119" spans="1:6" x14ac:dyDescent="0.25">
      <c r="A119" t="s">
        <v>67</v>
      </c>
      <c r="B119" t="s">
        <v>59</v>
      </c>
      <c r="C119" t="s">
        <v>126</v>
      </c>
      <c r="D119" s="2">
        <v>0</v>
      </c>
      <c r="E119" t="s">
        <v>323</v>
      </c>
      <c r="F119" s="5" t="s">
        <v>324</v>
      </c>
    </row>
    <row r="120" spans="1:6" x14ac:dyDescent="0.25">
      <c r="A120" t="s">
        <v>67</v>
      </c>
      <c r="B120" t="s">
        <v>59</v>
      </c>
      <c r="C120" t="s">
        <v>126</v>
      </c>
      <c r="D120" s="2">
        <v>0</v>
      </c>
      <c r="E120" t="s">
        <v>325</v>
      </c>
      <c r="F120" s="5" t="s">
        <v>326</v>
      </c>
    </row>
    <row r="121" spans="1:6" x14ac:dyDescent="0.25">
      <c r="A121" t="s">
        <v>67</v>
      </c>
      <c r="B121" t="s">
        <v>59</v>
      </c>
      <c r="C121" t="s">
        <v>126</v>
      </c>
      <c r="D121" s="2">
        <v>35563477.549999997</v>
      </c>
      <c r="E121" t="s">
        <v>327</v>
      </c>
      <c r="F121" s="5" t="s">
        <v>328</v>
      </c>
    </row>
    <row r="122" spans="1:6" x14ac:dyDescent="0.25">
      <c r="A122" t="s">
        <v>67</v>
      </c>
      <c r="B122" t="s">
        <v>59</v>
      </c>
      <c r="C122" t="s">
        <v>126</v>
      </c>
      <c r="D122" s="2">
        <v>0</v>
      </c>
      <c r="E122" t="s">
        <v>329</v>
      </c>
      <c r="F122" s="5" t="s">
        <v>330</v>
      </c>
    </row>
    <row r="123" spans="1:6" x14ac:dyDescent="0.25">
      <c r="A123" t="s">
        <v>67</v>
      </c>
      <c r="B123" t="s">
        <v>59</v>
      </c>
      <c r="C123" t="s">
        <v>102</v>
      </c>
      <c r="D123" s="2">
        <v>31128344.079999998</v>
      </c>
      <c r="E123" t="s">
        <v>331</v>
      </c>
      <c r="F123" s="5" t="s">
        <v>332</v>
      </c>
    </row>
    <row r="124" spans="1:6" x14ac:dyDescent="0.25">
      <c r="A124" t="s">
        <v>67</v>
      </c>
      <c r="B124" t="s">
        <v>59</v>
      </c>
      <c r="C124" t="s">
        <v>102</v>
      </c>
      <c r="D124" s="2">
        <v>31155217.469999999</v>
      </c>
      <c r="E124" t="s">
        <v>333</v>
      </c>
      <c r="F124" s="5" t="s">
        <v>334</v>
      </c>
    </row>
    <row r="125" spans="1:6" x14ac:dyDescent="0.25">
      <c r="A125" t="s">
        <v>67</v>
      </c>
      <c r="B125" t="s">
        <v>59</v>
      </c>
      <c r="C125" t="s">
        <v>102</v>
      </c>
      <c r="D125" s="2">
        <v>24129529.789999999</v>
      </c>
      <c r="E125" t="s">
        <v>335</v>
      </c>
      <c r="F125" s="5" t="s">
        <v>336</v>
      </c>
    </row>
    <row r="126" spans="1:6" x14ac:dyDescent="0.25">
      <c r="A126" t="s">
        <v>67</v>
      </c>
      <c r="B126" t="s">
        <v>59</v>
      </c>
      <c r="C126" t="s">
        <v>102</v>
      </c>
      <c r="D126" s="2">
        <v>27438968.890000001</v>
      </c>
      <c r="E126" t="s">
        <v>337</v>
      </c>
      <c r="F126" s="5" t="s">
        <v>338</v>
      </c>
    </row>
    <row r="127" spans="1:6" x14ac:dyDescent="0.25">
      <c r="A127" t="s">
        <v>67</v>
      </c>
      <c r="B127" t="s">
        <v>59</v>
      </c>
      <c r="C127" t="s">
        <v>102</v>
      </c>
      <c r="D127" s="2">
        <v>27323931.73</v>
      </c>
      <c r="E127" t="s">
        <v>339</v>
      </c>
      <c r="F127" s="5" t="s">
        <v>340</v>
      </c>
    </row>
    <row r="128" spans="1:6" x14ac:dyDescent="0.25">
      <c r="A128" t="s">
        <v>68</v>
      </c>
      <c r="B128" t="s">
        <v>59</v>
      </c>
      <c r="C128" t="s">
        <v>84</v>
      </c>
      <c r="D128" s="2">
        <v>0</v>
      </c>
      <c r="E128" t="s">
        <v>341</v>
      </c>
      <c r="F128" s="5" t="s">
        <v>342</v>
      </c>
    </row>
    <row r="129" spans="1:6" x14ac:dyDescent="0.25">
      <c r="A129" t="s">
        <v>68</v>
      </c>
      <c r="B129" t="s">
        <v>59</v>
      </c>
      <c r="C129" t="s">
        <v>102</v>
      </c>
      <c r="D129" s="2">
        <v>59977458.530000001</v>
      </c>
      <c r="E129" t="s">
        <v>343</v>
      </c>
      <c r="F129" s="5" t="s">
        <v>344</v>
      </c>
    </row>
    <row r="130" spans="1:6" x14ac:dyDescent="0.25">
      <c r="A130" t="s">
        <v>69</v>
      </c>
      <c r="B130" t="s">
        <v>59</v>
      </c>
      <c r="C130" t="s">
        <v>89</v>
      </c>
      <c r="D130" s="2">
        <v>309663095.67000002</v>
      </c>
      <c r="E130" t="s">
        <v>345</v>
      </c>
      <c r="F130" s="5" t="s">
        <v>346</v>
      </c>
    </row>
    <row r="131" spans="1:6" x14ac:dyDescent="0.25">
      <c r="A131" t="s">
        <v>70</v>
      </c>
      <c r="B131" t="s">
        <v>59</v>
      </c>
      <c r="C131" t="s">
        <v>126</v>
      </c>
      <c r="D131" s="2">
        <v>0</v>
      </c>
      <c r="E131" t="s">
        <v>347</v>
      </c>
      <c r="F131" s="5" t="s">
        <v>348</v>
      </c>
    </row>
    <row r="132" spans="1:6" x14ac:dyDescent="0.25">
      <c r="A132" t="s">
        <v>71</v>
      </c>
      <c r="B132" t="s">
        <v>59</v>
      </c>
      <c r="C132" t="s">
        <v>84</v>
      </c>
      <c r="D132" s="2">
        <v>151848042.24000001</v>
      </c>
      <c r="E132" t="s">
        <v>349</v>
      </c>
      <c r="F132" s="5" t="s">
        <v>350</v>
      </c>
    </row>
    <row r="133" spans="1:6" x14ac:dyDescent="0.25">
      <c r="A133" t="s">
        <v>72</v>
      </c>
      <c r="B133" t="s">
        <v>59</v>
      </c>
      <c r="C133" t="s">
        <v>117</v>
      </c>
      <c r="D133" s="2">
        <v>0</v>
      </c>
      <c r="E133" t="s">
        <v>351</v>
      </c>
      <c r="F133" s="5" t="s">
        <v>352</v>
      </c>
    </row>
    <row r="134" spans="1:6" x14ac:dyDescent="0.25">
      <c r="A134" t="s">
        <v>73</v>
      </c>
      <c r="B134" t="s">
        <v>59</v>
      </c>
      <c r="C134" t="s">
        <v>84</v>
      </c>
      <c r="D134" s="2">
        <v>106913638.38</v>
      </c>
      <c r="E134" t="s">
        <v>353</v>
      </c>
      <c r="F134" s="5" t="s">
        <v>354</v>
      </c>
    </row>
    <row r="135" spans="1:6" x14ac:dyDescent="0.25">
      <c r="A135" t="s">
        <v>74</v>
      </c>
      <c r="B135" t="s">
        <v>59</v>
      </c>
      <c r="C135" t="s">
        <v>126</v>
      </c>
      <c r="D135" s="2">
        <v>0</v>
      </c>
      <c r="E135" t="s">
        <v>355</v>
      </c>
      <c r="F135" s="5" t="s">
        <v>356</v>
      </c>
    </row>
    <row r="136" spans="1:6" x14ac:dyDescent="0.25">
      <c r="A136" t="s">
        <v>75</v>
      </c>
      <c r="B136" t="s">
        <v>59</v>
      </c>
      <c r="C136" t="s">
        <v>89</v>
      </c>
      <c r="D136" s="2">
        <v>0</v>
      </c>
      <c r="E136" t="s">
        <v>357</v>
      </c>
      <c r="F136" s="5" t="s">
        <v>358</v>
      </c>
    </row>
    <row r="137" spans="1:6" x14ac:dyDescent="0.25">
      <c r="A137" t="s">
        <v>76</v>
      </c>
      <c r="B137" t="s">
        <v>59</v>
      </c>
      <c r="C137" t="s">
        <v>89</v>
      </c>
      <c r="D137" s="2">
        <v>0</v>
      </c>
      <c r="E137" t="s">
        <v>359</v>
      </c>
      <c r="F137" s="5" t="s">
        <v>360</v>
      </c>
    </row>
    <row r="138" spans="1:6" x14ac:dyDescent="0.25">
      <c r="A138" t="s">
        <v>77</v>
      </c>
      <c r="B138" t="s">
        <v>59</v>
      </c>
      <c r="C138" t="s">
        <v>84</v>
      </c>
      <c r="D138" s="2">
        <v>151605500.46000001</v>
      </c>
      <c r="E138" t="s">
        <v>361</v>
      </c>
      <c r="F138" s="5" t="s">
        <v>362</v>
      </c>
    </row>
    <row r="139" spans="1:6" x14ac:dyDescent="0.25">
      <c r="A139" t="s">
        <v>78</v>
      </c>
      <c r="B139" t="s">
        <v>59</v>
      </c>
      <c r="C139" t="s">
        <v>89</v>
      </c>
      <c r="D139" s="2">
        <v>0</v>
      </c>
      <c r="E139" t="s">
        <v>363</v>
      </c>
      <c r="F139" s="5" t="s">
        <v>364</v>
      </c>
    </row>
    <row r="140" spans="1:6" x14ac:dyDescent="0.25">
      <c r="A140" t="s">
        <v>78</v>
      </c>
      <c r="B140" t="s">
        <v>59</v>
      </c>
      <c r="C140" t="s">
        <v>102</v>
      </c>
      <c r="D140" s="2">
        <v>0</v>
      </c>
      <c r="E140" t="s">
        <v>365</v>
      </c>
      <c r="F140" s="5" t="s">
        <v>366</v>
      </c>
    </row>
    <row r="141" spans="1:6" x14ac:dyDescent="0.25">
      <c r="A141" t="s">
        <v>79</v>
      </c>
      <c r="B141" t="s">
        <v>59</v>
      </c>
      <c r="C141" t="s">
        <v>84</v>
      </c>
      <c r="D141" s="2">
        <v>0</v>
      </c>
      <c r="E141" t="s">
        <v>367</v>
      </c>
      <c r="F141" s="5" t="s">
        <v>368</v>
      </c>
    </row>
  </sheetData>
  <hyperlinks>
    <hyperlink ref="F17" r:id="rId1" xr:uid="{EEB002CE-D5A1-4183-8978-064BCCE710CD}"/>
    <hyperlink ref="F2" r:id="rId2" xr:uid="{26317902-A355-4755-965D-66F7459A62C4}"/>
    <hyperlink ref="F134" r:id="rId3" xr:uid="{E87A0E1E-B3D5-4C6E-A311-E7E7FF175785}"/>
    <hyperlink ref="F133" r:id="rId4" xr:uid="{0AFE6F6C-0BDD-4AB7-82C3-B15652205DC9}"/>
    <hyperlink ref="F135" r:id="rId5" xr:uid="{FB7F07F6-4437-4809-A27B-16CD6D99C20B}"/>
    <hyperlink ref="F109" r:id="rId6" xr:uid="{0B3C3352-D2C4-437A-ADC7-6288C16D0634}"/>
    <hyperlink ref="F122" r:id="rId7" xr:uid="{14AD5154-1772-405A-90CB-7F479FF86D1E}"/>
    <hyperlink ref="F5" r:id="rId8" xr:uid="{65C15D1C-2519-4871-A5BB-68EAFBED4D2D}"/>
    <hyperlink ref="F15" r:id="rId9" xr:uid="{DCB5612D-28AE-49BC-9762-DB89604BE1D7}"/>
    <hyperlink ref="F18" r:id="rId10" xr:uid="{7100B4C3-5640-45FF-B252-89E15694300F}"/>
    <hyperlink ref="F100" r:id="rId11" xr:uid="{FFBAAC12-5166-49AA-88B6-5B4BFC7CB601}"/>
    <hyperlink ref="F103" r:id="rId12" xr:uid="{610B8C9A-58F8-45E3-8F7A-1D187AAAFA51}"/>
    <hyperlink ref="F3" r:id="rId13" xr:uid="{74624C1C-30A2-42AB-BC28-CFAB5841B05D}"/>
    <hyperlink ref="F4" r:id="rId14" xr:uid="{45C45595-1012-43EE-A29A-FD20BB49932F}"/>
    <hyperlink ref="F6" r:id="rId15" xr:uid="{4AB4557B-A3D3-4E9A-9AA2-5DCC20BAE13F}"/>
    <hyperlink ref="F7" r:id="rId16" xr:uid="{A0ED36C8-4752-46B0-9CF4-0DD76639F0B4}"/>
    <hyperlink ref="F8" r:id="rId17" xr:uid="{28AF86CC-15CB-40F9-8E33-B294C8F6925D}"/>
    <hyperlink ref="F10" r:id="rId18" xr:uid="{C57D3061-7F6D-4547-B10B-879D74BA7506}"/>
    <hyperlink ref="F9" r:id="rId19" xr:uid="{78466CB9-E368-464D-A821-1FEE4CF4CF2B}"/>
    <hyperlink ref="F11" r:id="rId20" xr:uid="{7EEF89FB-ABAD-462F-92C7-B02D06C81909}"/>
    <hyperlink ref="F12" r:id="rId21" xr:uid="{916686FF-31CA-43F1-9820-E775B8119E1F}"/>
    <hyperlink ref="F13" r:id="rId22" xr:uid="{1F02CFA4-3C31-439F-AA9B-C55383DC5870}"/>
    <hyperlink ref="F14" r:id="rId23" xr:uid="{3654C473-B240-4D97-B391-CB3488DAFE9A}"/>
    <hyperlink ref="F16" r:id="rId24" xr:uid="{928D2BBF-AC54-43FE-A754-225FE23E33A7}"/>
    <hyperlink ref="F19" r:id="rId25" xr:uid="{EE37854C-9011-47F0-B55F-E1327B1B3A0C}"/>
    <hyperlink ref="F20" r:id="rId26" xr:uid="{431A6482-F67C-420A-9E6B-3E8C20DC8578}"/>
    <hyperlink ref="F21" r:id="rId27" xr:uid="{2F8918FC-42F9-40FA-B7F6-18DF1237CF39}"/>
    <hyperlink ref="F23" r:id="rId28" xr:uid="{0AEB47A7-095B-433B-BE46-BD6EC22CF2B6}"/>
    <hyperlink ref="F22" r:id="rId29" xr:uid="{68CB966C-A847-4550-848E-0900F7C83F67}"/>
    <hyperlink ref="F24" r:id="rId30" xr:uid="{A7F62127-3CD9-450A-8255-B69805D425D0}"/>
    <hyperlink ref="F25" r:id="rId31" xr:uid="{943DF94B-FADE-4B92-9452-3205249FAFE6}"/>
    <hyperlink ref="F26" r:id="rId32" xr:uid="{8C43F45A-AD74-4BFE-BC79-556023013948}"/>
    <hyperlink ref="F27" r:id="rId33" xr:uid="{186283AF-AB71-4917-A068-9529DE255EB1}"/>
    <hyperlink ref="F28" r:id="rId34" xr:uid="{BE4B070C-DC67-4E5E-8107-6B0D1EB6F351}"/>
    <hyperlink ref="F30" r:id="rId35" xr:uid="{C18686AF-A856-4672-B149-30BD9AFCBE38}"/>
    <hyperlink ref="F29" r:id="rId36" xr:uid="{EEDB9AEF-31B0-4F9E-B8AE-F0425399B525}"/>
    <hyperlink ref="F31" r:id="rId37" xr:uid="{10F18861-B8FC-4371-B41D-6E18823F49CA}"/>
    <hyperlink ref="F32" r:id="rId38" xr:uid="{EC465986-A957-4982-A161-0A2E02F9AC94}"/>
    <hyperlink ref="F33" r:id="rId39" xr:uid="{4EA0464A-6274-4AD9-A5EB-9998A79B5415}"/>
    <hyperlink ref="F34" r:id="rId40" xr:uid="{431B0AA7-3E62-49BE-8BC1-1003872843D9}"/>
    <hyperlink ref="F35" r:id="rId41" xr:uid="{8D8344A5-364C-45A2-97C1-8425FD05C0BE}"/>
    <hyperlink ref="F36" r:id="rId42" xr:uid="{D8A002CE-E763-403C-B8C0-E880FC869EFC}"/>
    <hyperlink ref="F37" r:id="rId43" xr:uid="{EF43AC00-3164-4186-A8AC-BE24AADEE043}"/>
    <hyperlink ref="F38" r:id="rId44" xr:uid="{F509EEAC-9F8B-4F6B-94FE-035967867670}"/>
    <hyperlink ref="F39" r:id="rId45" xr:uid="{6487A947-D124-4FCA-88EC-925E3EEF574A}"/>
    <hyperlink ref="F40" r:id="rId46" xr:uid="{2D8223BC-655E-4915-B24C-A4FE8C0545DF}"/>
    <hyperlink ref="F41" r:id="rId47" xr:uid="{F0960FAE-5ECE-4338-B22F-424BE317C9A7}"/>
    <hyperlink ref="F42" r:id="rId48" xr:uid="{AF1AF2F1-1CD0-4421-949B-654D902F1232}"/>
    <hyperlink ref="F43" r:id="rId49" xr:uid="{B2409E9A-B110-40C1-9956-4090F89CDC78}"/>
    <hyperlink ref="F44" r:id="rId50" xr:uid="{C890E4C5-FFC3-460E-A075-8DA8DB40FB24}"/>
    <hyperlink ref="F45" r:id="rId51" xr:uid="{F81AFC94-049E-4F2B-BD56-5CEB28976E77}"/>
    <hyperlink ref="F46" r:id="rId52" xr:uid="{03692F68-FF00-4A34-AE1F-8D0062C62FDB}"/>
    <hyperlink ref="F47" r:id="rId53" xr:uid="{A03AA5A4-C03C-4FB6-8C48-76629BD03DC6}"/>
    <hyperlink ref="F48" r:id="rId54" xr:uid="{721148FB-9EDD-4C1B-8102-39592A07FB3A}"/>
    <hyperlink ref="F49" r:id="rId55" xr:uid="{8000F1B9-1359-4F26-9CC4-82B0537CA7D0}"/>
    <hyperlink ref="F50" r:id="rId56" xr:uid="{7DB29CB8-FA44-4CB1-9E92-D320D4A0F31F}"/>
    <hyperlink ref="F51" r:id="rId57" xr:uid="{CC6A5480-A4C5-4159-AF8D-0634AC4C8E15}"/>
    <hyperlink ref="F52" r:id="rId58" xr:uid="{7CA8DE59-C0AF-4A5D-929D-117B89D29107}"/>
    <hyperlink ref="F53" r:id="rId59" xr:uid="{D7876F9A-794B-44FD-8027-B2D92C6F1689}"/>
    <hyperlink ref="F54" r:id="rId60" xr:uid="{3904B5DC-6AD7-480E-B654-B787B2D24045}"/>
    <hyperlink ref="F55" r:id="rId61" xr:uid="{648D1573-A97A-49A7-B8FA-726C3B86BA47}"/>
    <hyperlink ref="F56" r:id="rId62" xr:uid="{82572DCF-956B-4BAE-98C3-AA110B12E272}"/>
    <hyperlink ref="F57" r:id="rId63" xr:uid="{953E95E9-2619-4A10-A213-393AED87D536}"/>
    <hyperlink ref="F58" r:id="rId64" xr:uid="{AA791BDE-5BD5-4732-B04E-4ECB90FDBCDC}"/>
    <hyperlink ref="F59" r:id="rId65" xr:uid="{7F1A05ED-02F2-4982-8858-5C05CB698495}"/>
    <hyperlink ref="F60" r:id="rId66" xr:uid="{672B655F-046B-4114-8595-219693EB6862}"/>
    <hyperlink ref="F61" r:id="rId67" xr:uid="{23A1F886-81F3-4F3A-8653-0BCFA64DF471}"/>
    <hyperlink ref="F62" r:id="rId68" xr:uid="{2B104066-E735-4550-926D-4B5F10F87514}"/>
    <hyperlink ref="F63" r:id="rId69" xr:uid="{C4FDA31C-39F8-48B3-BAB9-DFA9863D0993}"/>
    <hyperlink ref="F64" r:id="rId70" xr:uid="{F3030B46-752C-4374-A5FD-885A42DCA962}"/>
    <hyperlink ref="F65" r:id="rId71" xr:uid="{2550748D-7643-41D8-B202-C543185181F7}"/>
    <hyperlink ref="F66" r:id="rId72" xr:uid="{B11083AA-8B27-4451-BD77-C52F81900689}"/>
    <hyperlink ref="F67" r:id="rId73" xr:uid="{C1B91EE5-9150-4877-902D-7FFD7FDBD6F6}"/>
    <hyperlink ref="F68" r:id="rId74" xr:uid="{0B4DC880-1F1A-478A-AE4F-314FC543756B}"/>
    <hyperlink ref="F69" r:id="rId75" xr:uid="{5FADAE30-43AC-4630-AE97-C234DB9DC08D}"/>
    <hyperlink ref="F70" r:id="rId76" xr:uid="{D6B7B1F2-E7DD-4A3C-AE55-BCC48941FFE5}"/>
    <hyperlink ref="F71" r:id="rId77" xr:uid="{1140BE93-8769-4880-9F46-BF9F4370F633}"/>
    <hyperlink ref="F72" r:id="rId78" xr:uid="{EE7BEE6A-5477-4311-90A8-B95385227A1F}"/>
    <hyperlink ref="F73" r:id="rId79" xr:uid="{F1ACA93D-8648-4C53-A3D8-376C1622987E}"/>
    <hyperlink ref="F74" r:id="rId80" xr:uid="{3235D993-4BEB-455A-931F-D0C53D2BDCD7}"/>
    <hyperlink ref="F75" r:id="rId81" xr:uid="{C6CAB39C-ABD1-4E09-9599-1947E0D56AB7}"/>
    <hyperlink ref="F76" r:id="rId82" xr:uid="{9C28B4B7-21CC-434D-833E-6FE94DECD717}"/>
    <hyperlink ref="F77" r:id="rId83" xr:uid="{A02B466B-AF6E-45B2-BBAC-63156FFF749A}"/>
    <hyperlink ref="F78" r:id="rId84" xr:uid="{096C2767-7FD1-49DB-B1FF-47C5D4754952}"/>
    <hyperlink ref="F79" r:id="rId85" xr:uid="{CE26737E-F6F9-41B4-9448-AA4B22833058}"/>
    <hyperlink ref="F80" r:id="rId86" xr:uid="{5373C7A0-9568-44D0-A404-43EB3AE333CD}"/>
    <hyperlink ref="F81" r:id="rId87" xr:uid="{CA0F0745-1B01-4658-A94B-F63B41C952B8}"/>
    <hyperlink ref="F82" r:id="rId88" xr:uid="{A2D254B4-81A2-41A2-A730-DFDD80F71DAD}"/>
    <hyperlink ref="F83" r:id="rId89" xr:uid="{052DC3AF-9111-4ADE-BFDB-D63A588FDCDD}"/>
    <hyperlink ref="F84" r:id="rId90" xr:uid="{A5B1BDF9-ACC2-4107-9D47-CBF40080CD96}"/>
    <hyperlink ref="F85" r:id="rId91" xr:uid="{FE2B36F7-6F9A-401F-AB7E-C607D87C20A6}"/>
    <hyperlink ref="F86" r:id="rId92" xr:uid="{6C9AF217-7D13-4FA7-B951-0766BFFF9269}"/>
    <hyperlink ref="F87" r:id="rId93" xr:uid="{CEB9F304-4B18-4C32-A0D4-9A1C764C92DA}"/>
    <hyperlink ref="F88" r:id="rId94" xr:uid="{78F4EA0C-B606-449B-BD47-BDA8AAC8582E}"/>
    <hyperlink ref="F89" r:id="rId95" xr:uid="{55151CD3-B7C0-4330-B9CF-0F808A008DFF}"/>
    <hyperlink ref="F90" r:id="rId96" xr:uid="{4751154A-C86F-4D4A-B490-5D94E05554C3}"/>
    <hyperlink ref="F91" r:id="rId97" xr:uid="{BD27263B-E054-4299-B9A9-5A10E4F38F45}"/>
    <hyperlink ref="F92" r:id="rId98" xr:uid="{74717647-4E77-4087-976F-E9A5B25EA1B0}"/>
    <hyperlink ref="F93" r:id="rId99" xr:uid="{DADB6AA4-ED90-43FC-BCB7-2E24EE27721A}"/>
    <hyperlink ref="F94" r:id="rId100" xr:uid="{BFD4260A-858E-40E4-8602-4DF80E139759}"/>
    <hyperlink ref="F95" r:id="rId101" xr:uid="{01F17637-C020-469E-94B4-3FD570460203}"/>
    <hyperlink ref="F96" r:id="rId102" xr:uid="{186B50AF-40D5-457F-9629-BCC2A098B584}"/>
    <hyperlink ref="F97" r:id="rId103" xr:uid="{E7E73C53-3B47-473D-9A9B-13781BDEE5EF}"/>
    <hyperlink ref="F98" r:id="rId104" xr:uid="{B18E7D60-2A3E-48AC-9854-CDF4A758ECE2}"/>
    <hyperlink ref="F99" r:id="rId105" xr:uid="{0E53C9C5-0751-40BB-9D5E-46C70FA3B1DC}"/>
    <hyperlink ref="F101" r:id="rId106" xr:uid="{865C9A72-29E3-44B7-98DE-48C77819052C}"/>
    <hyperlink ref="F102" r:id="rId107" xr:uid="{5749CD03-93D2-40EF-8FB1-622EF9EB7416}"/>
    <hyperlink ref="F104" r:id="rId108" xr:uid="{2282D918-4F5A-4A78-92FF-DFFA48BDCD3E}"/>
    <hyperlink ref="F105" r:id="rId109" xr:uid="{19CF6ECE-9BF4-4AC1-93F8-90BB3F7DC078}"/>
    <hyperlink ref="F106" r:id="rId110" xr:uid="{41F560EC-3148-41B9-B0F0-66A808EB86D9}"/>
    <hyperlink ref="F107" r:id="rId111" xr:uid="{6CBC118F-8BB9-4D19-93B2-E60E6868FA7B}"/>
    <hyperlink ref="F108" r:id="rId112" xr:uid="{EF060395-EB05-4934-9D30-A2AF4C61E75C}"/>
    <hyperlink ref="F110" r:id="rId113" xr:uid="{2D0F6BFD-B966-4AE1-863D-570E22FA9258}"/>
    <hyperlink ref="F111" r:id="rId114" xr:uid="{266066ED-7256-4A70-885C-972C0F0F1064}"/>
    <hyperlink ref="F112" r:id="rId115" xr:uid="{482C40AE-1721-47CD-8D6B-4AC914592891}"/>
    <hyperlink ref="F113" r:id="rId116" xr:uid="{193426DF-CFE9-4E8E-A7DC-876E70381C2B}"/>
    <hyperlink ref="F114" r:id="rId117" xr:uid="{6F1CD5DF-D1A0-419D-9D26-516DD7128277}"/>
    <hyperlink ref="F115" r:id="rId118" xr:uid="{C7BB2815-3122-4D53-9DA5-FA46D4DFAECD}"/>
    <hyperlink ref="F116" r:id="rId119" xr:uid="{1B9C633F-E549-4AC7-B1FF-35FC21B1858B}"/>
    <hyperlink ref="F117" r:id="rId120" xr:uid="{9495E2A9-03EF-4425-8D2C-C786D7061C16}"/>
    <hyperlink ref="F118" r:id="rId121" xr:uid="{E26DE8B2-C11D-46C8-882A-F12D5CE60338}"/>
    <hyperlink ref="F119" r:id="rId122" xr:uid="{B4ADC362-6BF7-4B01-9639-66EDAFE7D42E}"/>
    <hyperlink ref="F120" r:id="rId123" xr:uid="{65CA6BED-A337-44DD-9376-76F566C3E4EC}"/>
    <hyperlink ref="F121" r:id="rId124" xr:uid="{A0264EBF-1CD2-4005-8A10-3150FE853E5F}"/>
    <hyperlink ref="F123" r:id="rId125" xr:uid="{E290D4D0-D3C4-41D8-B849-074CBA8FAA41}"/>
    <hyperlink ref="F124" r:id="rId126" xr:uid="{3748E98C-C81F-4EA7-A391-ED32A5B0D494}"/>
    <hyperlink ref="F125" r:id="rId127" xr:uid="{60C2E753-ADDA-4504-BB36-2F40461F0C4D}"/>
    <hyperlink ref="F126" r:id="rId128" xr:uid="{6181DC55-DC92-4567-B540-E946E985CAB5}"/>
    <hyperlink ref="F127" r:id="rId129" xr:uid="{218CE455-8CF0-4072-93B8-B436FA74A30B}"/>
    <hyperlink ref="F128" r:id="rId130" xr:uid="{59782556-15BA-4428-ACB6-055B85C5B512}"/>
    <hyperlink ref="F129" r:id="rId131" xr:uid="{4CB0BB94-82B4-4BB9-A1CA-CDA51ECA76AA}"/>
    <hyperlink ref="F130" r:id="rId132" xr:uid="{9C6290CA-EB4A-4FD1-B455-90199B3A34F9}"/>
    <hyperlink ref="F131" r:id="rId133" xr:uid="{D8E18A75-756C-4990-BBAF-0294BDB4010A}"/>
    <hyperlink ref="F132" r:id="rId134" xr:uid="{7F8AB7E1-3C88-4588-A4AB-223EFACA14B3}"/>
    <hyperlink ref="F136" r:id="rId135" xr:uid="{E8716BE9-ADBF-4487-94EB-81DD9C7C73B3}"/>
    <hyperlink ref="F137" r:id="rId136" xr:uid="{083A750E-52D0-4AC5-949F-ED2C03A38CF0}"/>
    <hyperlink ref="F138" r:id="rId137" xr:uid="{5D828EEA-DF4C-4B15-93D6-68C0CFBD3272}"/>
    <hyperlink ref="F139" r:id="rId138" xr:uid="{64173B5B-6090-482D-A5EC-B07DB232E675}"/>
    <hyperlink ref="F140" r:id="rId139" xr:uid="{EF0DDB76-743D-428E-8298-CAE4E4BC5053}"/>
    <hyperlink ref="F141" r:id="rId140" xr:uid="{306F587B-D63C-4EAD-B616-6F5B1A04CFDB}"/>
  </hyperlinks>
  <pageMargins left="0.75" right="0.75" top="1" bottom="1" header="0.5" footer="0.5"/>
  <pageSetup paperSize="9" orientation="portrait" r:id="rId14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1:F70"/>
  <sheetViews>
    <sheetView tabSelected="1" topLeftCell="A40" workbookViewId="0">
      <selection activeCell="F71" sqref="F71"/>
    </sheetView>
  </sheetViews>
  <sheetFormatPr defaultRowHeight="15" x14ac:dyDescent="0.25"/>
  <cols>
    <col min="1" max="1" width="26.140625" customWidth="1"/>
    <col min="3" max="3" width="19.7109375" customWidth="1"/>
    <col min="4" max="4" width="15.140625" customWidth="1"/>
    <col min="5" max="5" width="22.5703125" customWidth="1"/>
  </cols>
  <sheetData>
    <row r="1" spans="1:6" x14ac:dyDescent="0.25">
      <c r="A1" s="1" t="s">
        <v>1</v>
      </c>
      <c r="B1" s="1" t="s">
        <v>2</v>
      </c>
      <c r="C1" s="1" t="s">
        <v>369</v>
      </c>
      <c r="D1" s="1" t="s">
        <v>370</v>
      </c>
      <c r="E1" s="1" t="s">
        <v>371</v>
      </c>
    </row>
    <row r="2" spans="1:6" x14ac:dyDescent="0.25">
      <c r="A2" t="s">
        <v>5</v>
      </c>
      <c r="B2" t="s">
        <v>6</v>
      </c>
      <c r="C2" s="2">
        <f>SUMIFS('Links for check'!D:D, 'Links for check'!A:A, A2, 'Links for check'!C:C, "&lt;&gt;LightShip_links")</f>
        <v>152937837.61000001</v>
      </c>
      <c r="D2" s="2">
        <f>SUMIFS('Links for check'!D:D, 'Links for check'!A:A, A2, 'Links for check'!C:C, "LightShip_links")</f>
        <v>0</v>
      </c>
      <c r="E2" s="2">
        <f t="shared" ref="E2:E33" si="0">C2+D2</f>
        <v>152937837.61000001</v>
      </c>
      <c r="F2">
        <f>IF(C2&gt;0,1,0)</f>
        <v>1</v>
      </c>
    </row>
    <row r="3" spans="1:6" x14ac:dyDescent="0.25">
      <c r="A3" t="s">
        <v>8</v>
      </c>
      <c r="B3" t="s">
        <v>6</v>
      </c>
      <c r="C3" s="2">
        <f>SUMIFS('Links for check'!D:D, 'Links for check'!A:A, A3, 'Links for check'!C:C, "&lt;&gt;LightShip_links")</f>
        <v>243356357.12</v>
      </c>
      <c r="D3" s="2">
        <f>SUMIFS('Links for check'!D:D, 'Links for check'!A:A, A3, 'Links for check'!C:C, "LightShip_links")</f>
        <v>0</v>
      </c>
      <c r="E3" s="2">
        <f t="shared" si="0"/>
        <v>243356357.12</v>
      </c>
      <c r="F3">
        <f t="shared" ref="F3:F66" si="1">IF(C3&gt;0,1,0)</f>
        <v>1</v>
      </c>
    </row>
    <row r="4" spans="1:6" x14ac:dyDescent="0.25">
      <c r="A4" t="s">
        <v>9</v>
      </c>
      <c r="B4" t="s">
        <v>6</v>
      </c>
      <c r="C4" s="2">
        <f>SUMIFS('Links for check'!D:D, 'Links for check'!A:A, A4, 'Links for check'!C:C, "&lt;&gt;LightShip_links")</f>
        <v>0</v>
      </c>
      <c r="D4" s="2">
        <f>SUMIFS('Links for check'!D:D, 'Links for check'!A:A, A4, 'Links for check'!C:C, "LightShip_links")</f>
        <v>0</v>
      </c>
      <c r="E4" s="2">
        <f t="shared" si="0"/>
        <v>0</v>
      </c>
      <c r="F4">
        <f t="shared" si="1"/>
        <v>0</v>
      </c>
    </row>
    <row r="5" spans="1:6" x14ac:dyDescent="0.25">
      <c r="A5" t="s">
        <v>10</v>
      </c>
      <c r="B5" t="s">
        <v>6</v>
      </c>
      <c r="C5" s="2">
        <f>SUMIFS('Links for check'!D:D, 'Links for check'!A:A, A5, 'Links for check'!C:C, "&lt;&gt;LightShip_links")</f>
        <v>253371772.31999999</v>
      </c>
      <c r="D5" s="2">
        <f>SUMIFS('Links for check'!D:D, 'Links for check'!A:A, A5, 'Links for check'!C:C, "LightShip_links")</f>
        <v>0</v>
      </c>
      <c r="E5" s="2">
        <f t="shared" si="0"/>
        <v>253371772.31999999</v>
      </c>
      <c r="F5">
        <f t="shared" si="1"/>
        <v>1</v>
      </c>
    </row>
    <row r="6" spans="1:6" x14ac:dyDescent="0.25">
      <c r="A6" t="s">
        <v>11</v>
      </c>
      <c r="B6" t="s">
        <v>6</v>
      </c>
      <c r="C6" s="2">
        <f>SUMIFS('Links for check'!D:D, 'Links for check'!A:A, A6, 'Links for check'!C:C, "&lt;&gt;LightShip_links")</f>
        <v>0</v>
      </c>
      <c r="D6" s="2">
        <f>SUMIFS('Links for check'!D:D, 'Links for check'!A:A, A6, 'Links for check'!C:C, "LightShip_links")</f>
        <v>0</v>
      </c>
      <c r="E6" s="2">
        <f t="shared" si="0"/>
        <v>0</v>
      </c>
      <c r="F6">
        <f t="shared" si="1"/>
        <v>0</v>
      </c>
    </row>
    <row r="7" spans="1:6" x14ac:dyDescent="0.25">
      <c r="A7" t="s">
        <v>12</v>
      </c>
      <c r="B7" t="s">
        <v>13</v>
      </c>
      <c r="C7" s="2">
        <f>SUMIFS('Links for check'!D:D, 'Links for check'!A:A, A7, 'Links for check'!C:C, "&lt;&gt;LightShip_links")</f>
        <v>1412888586.03</v>
      </c>
      <c r="D7" s="2">
        <f>SUMIFS('Links for check'!D:D, 'Links for check'!A:A, A7, 'Links for check'!C:C, "LightShip_links")</f>
        <v>87577403.620000005</v>
      </c>
      <c r="E7" s="2">
        <f t="shared" si="0"/>
        <v>1500465989.6500001</v>
      </c>
      <c r="F7">
        <f t="shared" si="1"/>
        <v>1</v>
      </c>
    </row>
    <row r="8" spans="1:6" x14ac:dyDescent="0.25">
      <c r="A8" t="s">
        <v>14</v>
      </c>
      <c r="B8" t="s">
        <v>13</v>
      </c>
      <c r="C8" s="2">
        <f>SUMIFS('Links for check'!D:D, 'Links for check'!A:A, A8, 'Links for check'!C:C, "&lt;&gt;LightShip_links")</f>
        <v>1239231981.29</v>
      </c>
      <c r="D8" s="2">
        <f>SUMIFS('Links for check'!D:D, 'Links for check'!A:A, A8, 'Links for check'!C:C, "LightShip_links")</f>
        <v>0</v>
      </c>
      <c r="E8" s="2">
        <f t="shared" si="0"/>
        <v>1239231981.29</v>
      </c>
      <c r="F8">
        <f t="shared" si="1"/>
        <v>1</v>
      </c>
    </row>
    <row r="9" spans="1:6" x14ac:dyDescent="0.25">
      <c r="A9" t="s">
        <v>15</v>
      </c>
      <c r="B9" t="s">
        <v>13</v>
      </c>
      <c r="C9" s="2">
        <f>SUMIFS('Links for check'!D:D, 'Links for check'!A:A, A9, 'Links for check'!C:C, "&lt;&gt;LightShip_links")</f>
        <v>0</v>
      </c>
      <c r="D9" s="2">
        <f>SUMIFS('Links for check'!D:D, 'Links for check'!A:A, A9, 'Links for check'!C:C, "LightShip_links")</f>
        <v>0</v>
      </c>
      <c r="E9" s="2">
        <f t="shared" si="0"/>
        <v>0</v>
      </c>
      <c r="F9">
        <f t="shared" si="1"/>
        <v>0</v>
      </c>
    </row>
    <row r="10" spans="1:6" x14ac:dyDescent="0.25">
      <c r="A10" t="s">
        <v>16</v>
      </c>
      <c r="B10" t="s">
        <v>13</v>
      </c>
      <c r="C10" s="2">
        <f>SUMIFS('Links for check'!D:D, 'Links for check'!A:A, A10, 'Links for check'!C:C, "&lt;&gt;LightShip_links")</f>
        <v>303885960.54000002</v>
      </c>
      <c r="D10" s="2">
        <f>SUMIFS('Links for check'!D:D, 'Links for check'!A:A, A10, 'Links for check'!C:C, "LightShip_links")</f>
        <v>0</v>
      </c>
      <c r="E10" s="2">
        <f t="shared" si="0"/>
        <v>303885960.54000002</v>
      </c>
      <c r="F10">
        <f t="shared" si="1"/>
        <v>1</v>
      </c>
    </row>
    <row r="11" spans="1:6" x14ac:dyDescent="0.25">
      <c r="A11" t="s">
        <v>17</v>
      </c>
      <c r="B11" t="s">
        <v>13</v>
      </c>
      <c r="C11" s="2">
        <f>SUMIFS('Links for check'!D:D, 'Links for check'!A:A, A11, 'Links for check'!C:C, "&lt;&gt;LightShip_links")</f>
        <v>-151623115.69999999</v>
      </c>
      <c r="D11" s="2">
        <f>SUMIFS('Links for check'!D:D, 'Links for check'!A:A, A11, 'Links for check'!C:C, "LightShip_links")</f>
        <v>2861698.33</v>
      </c>
      <c r="E11" s="2">
        <f t="shared" si="0"/>
        <v>-148761417.36999997</v>
      </c>
      <c r="F11">
        <f t="shared" si="1"/>
        <v>0</v>
      </c>
    </row>
    <row r="12" spans="1:6" x14ac:dyDescent="0.25">
      <c r="A12" t="s">
        <v>19</v>
      </c>
      <c r="B12" t="s">
        <v>20</v>
      </c>
      <c r="C12" s="2">
        <f>SUMIFS('Links for check'!D:D, 'Links for check'!A:A, A12, 'Links for check'!C:C, "&lt;&gt;LightShip_links")</f>
        <v>312416627.60000002</v>
      </c>
      <c r="D12" s="2">
        <f>SUMIFS('Links for check'!D:D, 'Links for check'!A:A, A12, 'Links for check'!C:C, "LightShip_links")</f>
        <v>0</v>
      </c>
      <c r="E12" s="2">
        <f t="shared" si="0"/>
        <v>312416627.60000002</v>
      </c>
      <c r="F12">
        <f t="shared" si="1"/>
        <v>1</v>
      </c>
    </row>
    <row r="13" spans="1:6" x14ac:dyDescent="0.25">
      <c r="A13" t="s">
        <v>21</v>
      </c>
      <c r="B13" t="s">
        <v>20</v>
      </c>
      <c r="C13" s="2">
        <f>SUMIFS('Links for check'!D:D, 'Links for check'!A:A, A13, 'Links for check'!C:C, "&lt;&gt;LightShip_links")</f>
        <v>679594272.21000004</v>
      </c>
      <c r="D13" s="2">
        <f>SUMIFS('Links for check'!D:D, 'Links for check'!A:A, A13, 'Links for check'!C:C, "LightShip_links")</f>
        <v>0</v>
      </c>
      <c r="E13" s="2">
        <f t="shared" si="0"/>
        <v>679594272.21000004</v>
      </c>
      <c r="F13">
        <f t="shared" si="1"/>
        <v>1</v>
      </c>
    </row>
    <row r="14" spans="1:6" x14ac:dyDescent="0.25">
      <c r="A14" t="s">
        <v>22</v>
      </c>
      <c r="B14" t="s">
        <v>20</v>
      </c>
      <c r="C14" s="2">
        <f>SUMIFS('Links for check'!D:D, 'Links for check'!A:A, A14, 'Links for check'!C:C, "&lt;&gt;LightShip_links")</f>
        <v>73856500.959999993</v>
      </c>
      <c r="D14" s="2">
        <f>SUMIFS('Links for check'!D:D, 'Links for check'!A:A, A14, 'Links for check'!C:C, "LightShip_links")</f>
        <v>0</v>
      </c>
      <c r="E14" s="2">
        <f t="shared" si="0"/>
        <v>73856500.959999993</v>
      </c>
      <c r="F14">
        <f t="shared" si="1"/>
        <v>1</v>
      </c>
    </row>
    <row r="15" spans="1:6" x14ac:dyDescent="0.25">
      <c r="A15" t="s">
        <v>23</v>
      </c>
      <c r="B15" t="s">
        <v>20</v>
      </c>
      <c r="C15" s="2">
        <f>SUMIFS('Links for check'!D:D, 'Links for check'!A:A, A15, 'Links for check'!C:C, "&lt;&gt;LightShip_links")</f>
        <v>153962862.59</v>
      </c>
      <c r="D15" s="2">
        <f>SUMIFS('Links for check'!D:D, 'Links for check'!A:A, A15, 'Links for check'!C:C, "LightShip_links")</f>
        <v>0</v>
      </c>
      <c r="E15" s="2">
        <f t="shared" si="0"/>
        <v>153962862.59</v>
      </c>
      <c r="F15">
        <f t="shared" si="1"/>
        <v>1</v>
      </c>
    </row>
    <row r="16" spans="1:6" x14ac:dyDescent="0.25">
      <c r="A16" t="s">
        <v>24</v>
      </c>
      <c r="B16" t="s">
        <v>20</v>
      </c>
      <c r="C16" s="2">
        <f>SUMIFS('Links for check'!D:D, 'Links for check'!A:A, A16, 'Links for check'!C:C, "&lt;&gt;LightShip_links")</f>
        <v>565282615.53999996</v>
      </c>
      <c r="D16" s="2">
        <f>SUMIFS('Links for check'!D:D, 'Links for check'!A:A, A16, 'Links for check'!C:C, "LightShip_links")</f>
        <v>0</v>
      </c>
      <c r="E16" s="2">
        <f t="shared" si="0"/>
        <v>565282615.53999996</v>
      </c>
      <c r="F16">
        <f t="shared" si="1"/>
        <v>1</v>
      </c>
    </row>
    <row r="17" spans="1:6" x14ac:dyDescent="0.25">
      <c r="A17" t="s">
        <v>25</v>
      </c>
      <c r="B17" t="s">
        <v>20</v>
      </c>
      <c r="C17" s="2">
        <f>SUMIFS('Links for check'!D:D, 'Links for check'!A:A, A17, 'Links for check'!C:C, "&lt;&gt;LightShip_links")</f>
        <v>989810311.03999996</v>
      </c>
      <c r="D17" s="2">
        <f>SUMIFS('Links for check'!D:D, 'Links for check'!A:A, A17, 'Links for check'!C:C, "LightShip_links")</f>
        <v>0</v>
      </c>
      <c r="E17" s="2">
        <f t="shared" si="0"/>
        <v>989810311.03999996</v>
      </c>
      <c r="F17">
        <f t="shared" si="1"/>
        <v>1</v>
      </c>
    </row>
    <row r="18" spans="1:6" x14ac:dyDescent="0.25">
      <c r="A18" t="s">
        <v>26</v>
      </c>
      <c r="B18" t="s">
        <v>20</v>
      </c>
      <c r="C18" s="2">
        <f>SUMIFS('Links for check'!D:D, 'Links for check'!A:A, A18, 'Links for check'!C:C, "&lt;&gt;LightShip_links")</f>
        <v>261221362.69</v>
      </c>
      <c r="D18" s="2">
        <f>SUMIFS('Links for check'!D:D, 'Links for check'!A:A, A18, 'Links for check'!C:C, "LightShip_links")</f>
        <v>0</v>
      </c>
      <c r="E18" s="2">
        <f t="shared" si="0"/>
        <v>261221362.69</v>
      </c>
      <c r="F18">
        <f t="shared" si="1"/>
        <v>1</v>
      </c>
    </row>
    <row r="19" spans="1:6" x14ac:dyDescent="0.25">
      <c r="A19" t="s">
        <v>27</v>
      </c>
      <c r="B19" t="s">
        <v>20</v>
      </c>
      <c r="C19" s="2">
        <f>SUMIFS('Links for check'!D:D, 'Links for check'!A:A, A19, 'Links for check'!C:C, "&lt;&gt;LightShip_links")</f>
        <v>71228214.789999992</v>
      </c>
      <c r="D19" s="2">
        <f>SUMIFS('Links for check'!D:D, 'Links for check'!A:A, A19, 'Links for check'!C:C, "LightShip_links")</f>
        <v>0</v>
      </c>
      <c r="E19" s="2">
        <f t="shared" si="0"/>
        <v>71228214.789999992</v>
      </c>
      <c r="F19">
        <f t="shared" si="1"/>
        <v>1</v>
      </c>
    </row>
    <row r="20" spans="1:6" x14ac:dyDescent="0.25">
      <c r="A20" t="s">
        <v>28</v>
      </c>
      <c r="B20" t="s">
        <v>20</v>
      </c>
      <c r="C20" s="2">
        <f>SUMIFS('Links for check'!D:D, 'Links for check'!A:A, A20, 'Links for check'!C:C, "&lt;&gt;LightShip_links")</f>
        <v>261866125.12</v>
      </c>
      <c r="D20" s="2">
        <f>SUMIFS('Links for check'!D:D, 'Links for check'!A:A, A20, 'Links for check'!C:C, "LightShip_links")</f>
        <v>0</v>
      </c>
      <c r="E20" s="2">
        <f t="shared" si="0"/>
        <v>261866125.12</v>
      </c>
      <c r="F20">
        <f t="shared" si="1"/>
        <v>1</v>
      </c>
    </row>
    <row r="21" spans="1:6" x14ac:dyDescent="0.25">
      <c r="A21" t="s">
        <v>29</v>
      </c>
      <c r="B21" t="s">
        <v>20</v>
      </c>
      <c r="C21" s="2">
        <f>SUMIFS('Links for check'!D:D, 'Links for check'!A:A, A21, 'Links for check'!C:C, "&lt;&gt;LightShip_links")</f>
        <v>309394958.86000001</v>
      </c>
      <c r="D21" s="2">
        <f>SUMIFS('Links for check'!D:D, 'Links for check'!A:A, A21, 'Links for check'!C:C, "LightShip_links")</f>
        <v>0</v>
      </c>
      <c r="E21" s="2">
        <f t="shared" si="0"/>
        <v>309394958.86000001</v>
      </c>
      <c r="F21">
        <f t="shared" si="1"/>
        <v>1</v>
      </c>
    </row>
    <row r="22" spans="1:6" x14ac:dyDescent="0.25">
      <c r="A22" t="s">
        <v>30</v>
      </c>
      <c r="B22" t="s">
        <v>20</v>
      </c>
      <c r="C22" s="2">
        <f>SUMIFS('Links for check'!D:D, 'Links for check'!A:A, A22, 'Links for check'!C:C, "&lt;&gt;LightShip_links")</f>
        <v>0</v>
      </c>
      <c r="D22" s="2">
        <f>SUMIFS('Links for check'!D:D, 'Links for check'!A:A, A22, 'Links for check'!C:C, "LightShip_links")</f>
        <v>78917112.789999992</v>
      </c>
      <c r="E22" s="2">
        <f t="shared" si="0"/>
        <v>78917112.789999992</v>
      </c>
      <c r="F22">
        <f t="shared" si="1"/>
        <v>0</v>
      </c>
    </row>
    <row r="23" spans="1:6" x14ac:dyDescent="0.25">
      <c r="A23" t="s">
        <v>31</v>
      </c>
      <c r="B23" t="s">
        <v>20</v>
      </c>
      <c r="C23" s="2">
        <f>SUMIFS('Links for check'!D:D, 'Links for check'!A:A, A23, 'Links for check'!C:C, "&lt;&gt;LightShip_links")</f>
        <v>177604074.22</v>
      </c>
      <c r="D23" s="2">
        <f>SUMIFS('Links for check'!D:D, 'Links for check'!A:A, A23, 'Links for check'!C:C, "LightShip_links")</f>
        <v>0</v>
      </c>
      <c r="E23" s="2">
        <f t="shared" si="0"/>
        <v>177604074.22</v>
      </c>
      <c r="F23">
        <f t="shared" si="1"/>
        <v>1</v>
      </c>
    </row>
    <row r="24" spans="1:6" x14ac:dyDescent="0.25">
      <c r="A24" t="s">
        <v>32</v>
      </c>
      <c r="B24" t="s">
        <v>20</v>
      </c>
      <c r="C24" s="2">
        <f>SUMIFS('Links for check'!D:D, 'Links for check'!A:A, A24, 'Links for check'!C:C, "&lt;&gt;LightShip_links")</f>
        <v>656279321.08999991</v>
      </c>
      <c r="D24" s="2">
        <f>SUMIFS('Links for check'!D:D, 'Links for check'!A:A, A24, 'Links for check'!C:C, "LightShip_links")</f>
        <v>0</v>
      </c>
      <c r="E24" s="2">
        <f t="shared" si="0"/>
        <v>656279321.08999991</v>
      </c>
      <c r="F24">
        <f t="shared" si="1"/>
        <v>1</v>
      </c>
    </row>
    <row r="25" spans="1:6" x14ac:dyDescent="0.25">
      <c r="A25" t="s">
        <v>33</v>
      </c>
      <c r="B25" t="s">
        <v>20</v>
      </c>
      <c r="C25" s="2">
        <f>SUMIFS('Links for check'!D:D, 'Links for check'!A:A, A25, 'Links for check'!C:C, "&lt;&gt;LightShip_links")</f>
        <v>207412841.18000001</v>
      </c>
      <c r="D25" s="2">
        <f>SUMIFS('Links for check'!D:D, 'Links for check'!A:A, A25, 'Links for check'!C:C, "LightShip_links")</f>
        <v>0</v>
      </c>
      <c r="E25" s="2">
        <f t="shared" si="0"/>
        <v>207412841.18000001</v>
      </c>
      <c r="F25">
        <f t="shared" si="1"/>
        <v>1</v>
      </c>
    </row>
    <row r="26" spans="1:6" x14ac:dyDescent="0.25">
      <c r="A26" t="s">
        <v>34</v>
      </c>
      <c r="B26" t="s">
        <v>20</v>
      </c>
      <c r="C26" s="2">
        <f>SUMIFS('Links for check'!D:D, 'Links for check'!A:A, A26, 'Links for check'!C:C, "&lt;&gt;LightShip_links")</f>
        <v>229488171.80000001</v>
      </c>
      <c r="D26" s="2">
        <f>SUMIFS('Links for check'!D:D, 'Links for check'!A:A, A26, 'Links for check'!C:C, "LightShip_links")</f>
        <v>0</v>
      </c>
      <c r="E26" s="2">
        <f t="shared" si="0"/>
        <v>229488171.80000001</v>
      </c>
      <c r="F26">
        <f t="shared" si="1"/>
        <v>1</v>
      </c>
    </row>
    <row r="27" spans="1:6" x14ac:dyDescent="0.25">
      <c r="A27" t="s">
        <v>35</v>
      </c>
      <c r="B27" t="s">
        <v>20</v>
      </c>
      <c r="C27" s="2">
        <f>SUMIFS('Links for check'!D:D, 'Links for check'!A:A, A27, 'Links for check'!C:C, "&lt;&gt;LightShip_links")</f>
        <v>256623181.16999999</v>
      </c>
      <c r="D27" s="2">
        <f>SUMIFS('Links for check'!D:D, 'Links for check'!A:A, A27, 'Links for check'!C:C, "LightShip_links")</f>
        <v>0</v>
      </c>
      <c r="E27" s="2">
        <f t="shared" si="0"/>
        <v>256623181.16999999</v>
      </c>
      <c r="F27">
        <f t="shared" si="1"/>
        <v>1</v>
      </c>
    </row>
    <row r="28" spans="1:6" x14ac:dyDescent="0.25">
      <c r="A28" t="s">
        <v>36</v>
      </c>
      <c r="B28" t="s">
        <v>20</v>
      </c>
      <c r="C28" s="2">
        <f>SUMIFS('Links for check'!D:D, 'Links for check'!A:A, A28, 'Links for check'!C:C, "&lt;&gt;LightShip_links")</f>
        <v>622087031.63</v>
      </c>
      <c r="D28" s="2">
        <f>SUMIFS('Links for check'!D:D, 'Links for check'!A:A, A28, 'Links for check'!C:C, "LightShip_links")</f>
        <v>0</v>
      </c>
      <c r="E28" s="2">
        <f t="shared" si="0"/>
        <v>622087031.63</v>
      </c>
      <c r="F28">
        <f t="shared" si="1"/>
        <v>1</v>
      </c>
    </row>
    <row r="29" spans="1:6" x14ac:dyDescent="0.25">
      <c r="A29" t="s">
        <v>37</v>
      </c>
      <c r="B29" t="s">
        <v>20</v>
      </c>
      <c r="C29" s="2">
        <f>SUMIFS('Links for check'!D:D, 'Links for check'!A:A, A29, 'Links for check'!C:C, "&lt;&gt;LightShip_links")</f>
        <v>73405282.120000005</v>
      </c>
      <c r="D29" s="2">
        <f>SUMIFS('Links for check'!D:D, 'Links for check'!A:A, A29, 'Links for check'!C:C, "LightShip_links")</f>
        <v>0</v>
      </c>
      <c r="E29" s="2">
        <f t="shared" si="0"/>
        <v>73405282.120000005</v>
      </c>
      <c r="F29">
        <f t="shared" si="1"/>
        <v>1</v>
      </c>
    </row>
    <row r="30" spans="1:6" x14ac:dyDescent="0.25">
      <c r="A30" t="s">
        <v>38</v>
      </c>
      <c r="B30" t="s">
        <v>20</v>
      </c>
      <c r="C30" s="2">
        <f>SUMIFS('Links for check'!D:D, 'Links for check'!A:A, A30, 'Links for check'!C:C, "&lt;&gt;LightShip_links")</f>
        <v>162814646.63</v>
      </c>
      <c r="D30" s="2">
        <f>SUMIFS('Links for check'!D:D, 'Links for check'!A:A, A30, 'Links for check'!C:C, "LightShip_links")</f>
        <v>40164531.490000002</v>
      </c>
      <c r="E30" s="2">
        <f t="shared" si="0"/>
        <v>202979178.12</v>
      </c>
      <c r="F30">
        <f t="shared" si="1"/>
        <v>1</v>
      </c>
    </row>
    <row r="31" spans="1:6" x14ac:dyDescent="0.25">
      <c r="A31" t="s">
        <v>39</v>
      </c>
      <c r="B31" t="s">
        <v>20</v>
      </c>
      <c r="C31" s="2">
        <f>SUMIFS('Links for check'!D:D, 'Links for check'!A:A, A31, 'Links for check'!C:C, "&lt;&gt;LightShip_links")</f>
        <v>482194925.11000001</v>
      </c>
      <c r="D31" s="2">
        <f>SUMIFS('Links for check'!D:D, 'Links for check'!A:A, A31, 'Links for check'!C:C, "LightShip_links")</f>
        <v>0</v>
      </c>
      <c r="E31" s="2">
        <f t="shared" si="0"/>
        <v>482194925.11000001</v>
      </c>
      <c r="F31">
        <f t="shared" si="1"/>
        <v>1</v>
      </c>
    </row>
    <row r="32" spans="1:6" x14ac:dyDescent="0.25">
      <c r="A32" t="s">
        <v>40</v>
      </c>
      <c r="B32" t="s">
        <v>20</v>
      </c>
      <c r="C32" s="2">
        <f>SUMIFS('Links for check'!D:D, 'Links for check'!A:A, A32, 'Links for check'!C:C, "&lt;&gt;LightShip_links")</f>
        <v>152005906.56</v>
      </c>
      <c r="D32" s="2">
        <f>SUMIFS('Links for check'!D:D, 'Links for check'!A:A, A32, 'Links for check'!C:C, "LightShip_links")</f>
        <v>0</v>
      </c>
      <c r="E32" s="2">
        <f t="shared" si="0"/>
        <v>152005906.56</v>
      </c>
      <c r="F32">
        <f t="shared" si="1"/>
        <v>1</v>
      </c>
    </row>
    <row r="33" spans="1:6" x14ac:dyDescent="0.25">
      <c r="A33" t="s">
        <v>41</v>
      </c>
      <c r="B33" t="s">
        <v>20</v>
      </c>
      <c r="C33" s="2">
        <f>SUMIFS('Links for check'!D:D, 'Links for check'!A:A, A33, 'Links for check'!C:C, "&lt;&gt;LightShip_links")</f>
        <v>367752688.37</v>
      </c>
      <c r="D33" s="2">
        <f>SUMIFS('Links for check'!D:D, 'Links for check'!A:A, A33, 'Links for check'!C:C, "LightShip_links")</f>
        <v>0</v>
      </c>
      <c r="E33" s="2">
        <f t="shared" si="0"/>
        <v>367752688.37</v>
      </c>
      <c r="F33">
        <f t="shared" si="1"/>
        <v>1</v>
      </c>
    </row>
    <row r="34" spans="1:6" x14ac:dyDescent="0.25">
      <c r="A34" t="s">
        <v>42</v>
      </c>
      <c r="B34" t="s">
        <v>20</v>
      </c>
      <c r="C34" s="2">
        <f>SUMIFS('Links for check'!D:D, 'Links for check'!A:A, A34, 'Links for check'!C:C, "&lt;&gt;LightShip_links")</f>
        <v>106905010.38</v>
      </c>
      <c r="D34" s="2">
        <f>SUMIFS('Links for check'!D:D, 'Links for check'!A:A, A34, 'Links for check'!C:C, "LightShip_links")</f>
        <v>0</v>
      </c>
      <c r="E34" s="2">
        <f t="shared" ref="E34:E65" si="2">C34+D34</f>
        <v>106905010.38</v>
      </c>
      <c r="F34">
        <f t="shared" si="1"/>
        <v>1</v>
      </c>
    </row>
    <row r="35" spans="1:6" x14ac:dyDescent="0.25">
      <c r="A35" t="s">
        <v>43</v>
      </c>
      <c r="B35" t="s">
        <v>20</v>
      </c>
      <c r="C35" s="2">
        <f>SUMIFS('Links for check'!D:D, 'Links for check'!A:A, A35, 'Links for check'!C:C, "&lt;&gt;LightShip_links")</f>
        <v>152501212.06</v>
      </c>
      <c r="D35" s="2">
        <f>SUMIFS('Links for check'!D:D, 'Links for check'!A:A, A35, 'Links for check'!C:C, "LightShip_links")</f>
        <v>0</v>
      </c>
      <c r="E35" s="2">
        <f t="shared" si="2"/>
        <v>152501212.06</v>
      </c>
      <c r="F35">
        <f t="shared" si="1"/>
        <v>1</v>
      </c>
    </row>
    <row r="36" spans="1:6" x14ac:dyDescent="0.25">
      <c r="A36" t="s">
        <v>44</v>
      </c>
      <c r="B36" t="s">
        <v>20</v>
      </c>
      <c r="C36" s="2">
        <f>SUMIFS('Links for check'!D:D, 'Links for check'!A:A, A36, 'Links for check'!C:C, "&lt;&gt;LightShip_links")</f>
        <v>151810316.16</v>
      </c>
      <c r="D36" s="2">
        <f>SUMIFS('Links for check'!D:D, 'Links for check'!A:A, A36, 'Links for check'!C:C, "LightShip_links")</f>
        <v>0</v>
      </c>
      <c r="E36" s="2">
        <f t="shared" si="2"/>
        <v>151810316.16</v>
      </c>
      <c r="F36">
        <f t="shared" si="1"/>
        <v>1</v>
      </c>
    </row>
    <row r="37" spans="1:6" x14ac:dyDescent="0.25">
      <c r="A37" t="s">
        <v>45</v>
      </c>
      <c r="B37" t="s">
        <v>20</v>
      </c>
      <c r="C37" s="2">
        <f>SUMIFS('Links for check'!D:D, 'Links for check'!A:A, A37, 'Links for check'!C:C, "&lt;&gt;LightShip_links")</f>
        <v>255992605.38</v>
      </c>
      <c r="D37" s="2">
        <f>SUMIFS('Links for check'!D:D, 'Links for check'!A:A, A37, 'Links for check'!C:C, "LightShip_links")</f>
        <v>0</v>
      </c>
      <c r="E37" s="2">
        <f t="shared" si="2"/>
        <v>255992605.38</v>
      </c>
      <c r="F37">
        <f t="shared" si="1"/>
        <v>1</v>
      </c>
    </row>
    <row r="38" spans="1:6" x14ac:dyDescent="0.25">
      <c r="A38" t="s">
        <v>46</v>
      </c>
      <c r="B38" t="s">
        <v>20</v>
      </c>
      <c r="C38" s="2">
        <f>SUMIFS('Links for check'!D:D, 'Links for check'!A:A, A38, 'Links for check'!C:C, "&lt;&gt;LightShip_links")</f>
        <v>47882262.510000013</v>
      </c>
      <c r="D38" s="2">
        <f>SUMIFS('Links for check'!D:D, 'Links for check'!A:A, A38, 'Links for check'!C:C, "LightShip_links")</f>
        <v>0</v>
      </c>
      <c r="E38" s="2">
        <f t="shared" si="2"/>
        <v>47882262.510000013</v>
      </c>
      <c r="F38">
        <f t="shared" si="1"/>
        <v>1</v>
      </c>
    </row>
    <row r="39" spans="1:6" x14ac:dyDescent="0.25">
      <c r="A39" t="s">
        <v>47</v>
      </c>
      <c r="B39" t="s">
        <v>20</v>
      </c>
      <c r="C39" s="2">
        <f>SUMIFS('Links for check'!D:D, 'Links for check'!A:A, A39, 'Links for check'!C:C, "&lt;&gt;LightShip_links")</f>
        <v>263026968.81</v>
      </c>
      <c r="D39" s="2">
        <f>SUMIFS('Links for check'!D:D, 'Links for check'!A:A, A39, 'Links for check'!C:C, "LightShip_links")</f>
        <v>0</v>
      </c>
      <c r="E39" s="2">
        <f t="shared" si="2"/>
        <v>263026968.81</v>
      </c>
      <c r="F39">
        <f t="shared" si="1"/>
        <v>1</v>
      </c>
    </row>
    <row r="40" spans="1:6" x14ac:dyDescent="0.25">
      <c r="A40" t="s">
        <v>48</v>
      </c>
      <c r="B40" t="s">
        <v>20</v>
      </c>
      <c r="C40" s="2">
        <f>SUMIFS('Links for check'!D:D, 'Links for check'!A:A, A40, 'Links for check'!C:C, "&lt;&gt;LightShip_links")</f>
        <v>248990984.25000003</v>
      </c>
      <c r="D40" s="2">
        <f>SUMIFS('Links for check'!D:D, 'Links for check'!A:A, A40, 'Links for check'!C:C, "LightShip_links")</f>
        <v>956330731.24000001</v>
      </c>
      <c r="E40" s="2">
        <f t="shared" si="2"/>
        <v>1205321715.49</v>
      </c>
      <c r="F40">
        <f t="shared" si="1"/>
        <v>1</v>
      </c>
    </row>
    <row r="41" spans="1:6" x14ac:dyDescent="0.25">
      <c r="A41" t="s">
        <v>49</v>
      </c>
      <c r="B41" t="s">
        <v>20</v>
      </c>
      <c r="C41" s="2">
        <f>SUMIFS('Links for check'!D:D, 'Links for check'!A:A, A41, 'Links for check'!C:C, "&lt;&gt;LightShip_links")</f>
        <v>773833905.05999994</v>
      </c>
      <c r="D41" s="2">
        <f>SUMIFS('Links for check'!D:D, 'Links for check'!A:A, A41, 'Links for check'!C:C, "LightShip_links")</f>
        <v>0</v>
      </c>
      <c r="E41" s="2">
        <f t="shared" si="2"/>
        <v>773833905.05999994</v>
      </c>
      <c r="F41">
        <f t="shared" si="1"/>
        <v>1</v>
      </c>
    </row>
    <row r="42" spans="1:6" x14ac:dyDescent="0.25">
      <c r="A42" t="s">
        <v>50</v>
      </c>
      <c r="B42" t="s">
        <v>20</v>
      </c>
      <c r="C42" s="2">
        <f>SUMIFS('Links for check'!D:D, 'Links for check'!A:A, A42, 'Links for check'!C:C, "&lt;&gt;LightShip_links")</f>
        <v>102003517.19999999</v>
      </c>
      <c r="D42" s="2">
        <f>SUMIFS('Links for check'!D:D, 'Links for check'!A:A, A42, 'Links for check'!C:C, "LightShip_links")</f>
        <v>0</v>
      </c>
      <c r="E42" s="2">
        <f t="shared" si="2"/>
        <v>102003517.19999999</v>
      </c>
      <c r="F42">
        <f t="shared" si="1"/>
        <v>1</v>
      </c>
    </row>
    <row r="43" spans="1:6" x14ac:dyDescent="0.25">
      <c r="A43" t="s">
        <v>51</v>
      </c>
      <c r="B43" t="s">
        <v>20</v>
      </c>
      <c r="C43" s="2">
        <f>SUMIFS('Links for check'!D:D, 'Links for check'!A:A, A43, 'Links for check'!C:C, "&lt;&gt;LightShip_links")</f>
        <v>1212036366.6100001</v>
      </c>
      <c r="D43" s="2">
        <f>SUMIFS('Links for check'!D:D, 'Links for check'!A:A, A43, 'Links for check'!C:C, "LightShip_links")</f>
        <v>40893425.57</v>
      </c>
      <c r="E43" s="2">
        <f t="shared" si="2"/>
        <v>1252929792.1800001</v>
      </c>
      <c r="F43">
        <f t="shared" si="1"/>
        <v>1</v>
      </c>
    </row>
    <row r="44" spans="1:6" x14ac:dyDescent="0.25">
      <c r="A44" t="s">
        <v>52</v>
      </c>
      <c r="B44" t="s">
        <v>20</v>
      </c>
      <c r="C44" s="2">
        <f>SUMIFS('Links for check'!D:D, 'Links for check'!A:A, A44, 'Links for check'!C:C, "&lt;&gt;LightShip_links")</f>
        <v>1128395096.2</v>
      </c>
      <c r="D44" s="2">
        <f>SUMIFS('Links for check'!D:D, 'Links for check'!A:A, A44, 'Links for check'!C:C, "LightShip_links")</f>
        <v>0</v>
      </c>
      <c r="E44" s="2">
        <f t="shared" si="2"/>
        <v>1128395096.2</v>
      </c>
      <c r="F44">
        <f t="shared" si="1"/>
        <v>1</v>
      </c>
    </row>
    <row r="45" spans="1:6" x14ac:dyDescent="0.25">
      <c r="A45" t="s">
        <v>53</v>
      </c>
      <c r="B45" t="s">
        <v>20</v>
      </c>
      <c r="C45" s="2">
        <f>SUMIFS('Links for check'!D:D, 'Links for check'!A:A, A45, 'Links for check'!C:C, "&lt;&gt;LightShip_links")</f>
        <v>46068482.539999999</v>
      </c>
      <c r="D45" s="2">
        <f>SUMIFS('Links for check'!D:D, 'Links for check'!A:A, A45, 'Links for check'!C:C, "LightShip_links")</f>
        <v>0</v>
      </c>
      <c r="E45" s="2">
        <f t="shared" si="2"/>
        <v>46068482.539999999</v>
      </c>
      <c r="F45">
        <f t="shared" si="1"/>
        <v>1</v>
      </c>
    </row>
    <row r="46" spans="1:6" x14ac:dyDescent="0.25">
      <c r="A46" t="s">
        <v>54</v>
      </c>
      <c r="B46" t="s">
        <v>20</v>
      </c>
      <c r="C46" s="2">
        <f>SUMIFS('Links for check'!D:D, 'Links for check'!A:A, A46, 'Links for check'!C:C, "&lt;&gt;LightShip_links")</f>
        <v>699000867.5999999</v>
      </c>
      <c r="D46" s="2">
        <f>SUMIFS('Links for check'!D:D, 'Links for check'!A:A, A46, 'Links for check'!C:C, "LightShip_links")</f>
        <v>0</v>
      </c>
      <c r="E46" s="2">
        <f t="shared" si="2"/>
        <v>699000867.5999999</v>
      </c>
      <c r="F46">
        <f t="shared" si="1"/>
        <v>1</v>
      </c>
    </row>
    <row r="47" spans="1:6" x14ac:dyDescent="0.25">
      <c r="A47" t="s">
        <v>55</v>
      </c>
      <c r="B47" t="s">
        <v>20</v>
      </c>
      <c r="C47" s="2">
        <f>SUMIFS('Links for check'!D:D, 'Links for check'!A:A, A47, 'Links for check'!C:C, "&lt;&gt;LightShip_links")</f>
        <v>470864063.96999997</v>
      </c>
      <c r="D47" s="2">
        <f>SUMIFS('Links for check'!D:D, 'Links for check'!A:A, A47, 'Links for check'!C:C, "LightShip_links")</f>
        <v>0</v>
      </c>
      <c r="E47" s="2">
        <f t="shared" si="2"/>
        <v>470864063.96999997</v>
      </c>
      <c r="F47">
        <f t="shared" si="1"/>
        <v>1</v>
      </c>
    </row>
    <row r="48" spans="1:6" x14ac:dyDescent="0.25">
      <c r="A48" t="s">
        <v>56</v>
      </c>
      <c r="B48" t="s">
        <v>57</v>
      </c>
      <c r="C48" s="2">
        <f>SUMIFS('Links for check'!D:D, 'Links for check'!A:A, A48, 'Links for check'!C:C, "&lt;&gt;LightShip_links")</f>
        <v>0</v>
      </c>
      <c r="D48" s="2">
        <f>SUMIFS('Links for check'!D:D, 'Links for check'!A:A, A48, 'Links for check'!C:C, "LightShip_links")</f>
        <v>0</v>
      </c>
      <c r="E48" s="2">
        <f t="shared" si="2"/>
        <v>0</v>
      </c>
      <c r="F48">
        <f t="shared" si="1"/>
        <v>0</v>
      </c>
    </row>
    <row r="49" spans="1:6" x14ac:dyDescent="0.25">
      <c r="A49" t="s">
        <v>58</v>
      </c>
      <c r="B49" t="s">
        <v>59</v>
      </c>
      <c r="C49" s="2">
        <f>SUMIFS('Links for check'!D:D, 'Links for check'!A:A, A49, 'Links for check'!C:C, "&lt;&gt;LightShip_links")</f>
        <v>150709218.63999999</v>
      </c>
      <c r="D49" s="2">
        <f>SUMIFS('Links for check'!D:D, 'Links for check'!A:A, A49, 'Links for check'!C:C, "LightShip_links")</f>
        <v>0</v>
      </c>
      <c r="E49" s="2">
        <f t="shared" si="2"/>
        <v>150709218.63999999</v>
      </c>
      <c r="F49">
        <f t="shared" si="1"/>
        <v>1</v>
      </c>
    </row>
    <row r="50" spans="1:6" x14ac:dyDescent="0.25">
      <c r="A50" t="s">
        <v>60</v>
      </c>
      <c r="B50" t="s">
        <v>59</v>
      </c>
      <c r="C50" s="2">
        <f>SUMIFS('Links for check'!D:D, 'Links for check'!A:A, A50, 'Links for check'!C:C, "&lt;&gt;LightShip_links")</f>
        <v>63844797.890000008</v>
      </c>
      <c r="D50" s="2">
        <f>SUMIFS('Links for check'!D:D, 'Links for check'!A:A, A50, 'Links for check'!C:C, "LightShip_links")</f>
        <v>0</v>
      </c>
      <c r="E50" s="2">
        <f t="shared" si="2"/>
        <v>63844797.890000008</v>
      </c>
      <c r="F50">
        <f t="shared" si="1"/>
        <v>1</v>
      </c>
    </row>
    <row r="51" spans="1:6" x14ac:dyDescent="0.25">
      <c r="A51" t="s">
        <v>61</v>
      </c>
      <c r="B51" t="s">
        <v>59</v>
      </c>
      <c r="C51" s="2">
        <f>SUMIFS('Links for check'!D:D, 'Links for check'!A:A, A51, 'Links for check'!C:C, "&lt;&gt;LightShip_links")</f>
        <v>303159766.95999998</v>
      </c>
      <c r="D51" s="2">
        <f>SUMIFS('Links for check'!D:D, 'Links for check'!A:A, A51, 'Links for check'!C:C, "LightShip_links")</f>
        <v>0</v>
      </c>
      <c r="E51" s="2">
        <f t="shared" si="2"/>
        <v>303159766.95999998</v>
      </c>
      <c r="F51">
        <f t="shared" si="1"/>
        <v>1</v>
      </c>
    </row>
    <row r="52" spans="1:6" x14ac:dyDescent="0.25">
      <c r="A52" t="s">
        <v>62</v>
      </c>
      <c r="B52" t="s">
        <v>59</v>
      </c>
      <c r="C52" s="2">
        <f>SUMIFS('Links for check'!D:D, 'Links for check'!A:A, A52, 'Links for check'!C:C, "&lt;&gt;LightShip_links")</f>
        <v>0</v>
      </c>
      <c r="D52" s="2">
        <f>SUMIFS('Links for check'!D:D, 'Links for check'!A:A, A52, 'Links for check'!C:C, "LightShip_links")</f>
        <v>0</v>
      </c>
      <c r="E52" s="2">
        <f t="shared" si="2"/>
        <v>0</v>
      </c>
      <c r="F52">
        <f t="shared" si="1"/>
        <v>0</v>
      </c>
    </row>
    <row r="53" spans="1:6" x14ac:dyDescent="0.25">
      <c r="A53" t="s">
        <v>63</v>
      </c>
      <c r="B53" t="s">
        <v>59</v>
      </c>
      <c r="C53" s="2">
        <f>SUMIFS('Links for check'!D:D, 'Links for check'!A:A, A53, 'Links for check'!C:C, "&lt;&gt;LightShip_links")</f>
        <v>0</v>
      </c>
      <c r="D53" s="2">
        <f>SUMIFS('Links for check'!D:D, 'Links for check'!A:A, A53, 'Links for check'!C:C, "LightShip_links")</f>
        <v>0</v>
      </c>
      <c r="E53" s="2">
        <f t="shared" si="2"/>
        <v>0</v>
      </c>
      <c r="F53">
        <f t="shared" si="1"/>
        <v>0</v>
      </c>
    </row>
    <row r="54" spans="1:6" x14ac:dyDescent="0.25">
      <c r="A54" t="s">
        <v>64</v>
      </c>
      <c r="B54" t="s">
        <v>59</v>
      </c>
      <c r="C54" s="2">
        <f>SUMIFS('Links for check'!D:D, 'Links for check'!A:A, A54, 'Links for check'!C:C, "&lt;&gt;LightShip_links")</f>
        <v>159372192.21000001</v>
      </c>
      <c r="D54" s="2">
        <f>SUMIFS('Links for check'!D:D, 'Links for check'!A:A, A54, 'Links for check'!C:C, "LightShip_links")</f>
        <v>952628.39</v>
      </c>
      <c r="E54" s="2">
        <f t="shared" si="2"/>
        <v>160324820.59999999</v>
      </c>
      <c r="F54">
        <f t="shared" si="1"/>
        <v>1</v>
      </c>
    </row>
    <row r="55" spans="1:6" x14ac:dyDescent="0.25">
      <c r="A55" t="s">
        <v>65</v>
      </c>
      <c r="B55" t="s">
        <v>59</v>
      </c>
      <c r="C55" s="2">
        <f>SUMIFS('Links for check'!D:D, 'Links for check'!A:A, A55, 'Links for check'!C:C, "&lt;&gt;LightShip_links")</f>
        <v>148488810.90000001</v>
      </c>
      <c r="D55" s="2">
        <f>SUMIFS('Links for check'!D:D, 'Links for check'!A:A, A55, 'Links for check'!C:C, "LightShip_links")</f>
        <v>3390080.45</v>
      </c>
      <c r="E55" s="2">
        <f t="shared" si="2"/>
        <v>151878891.34999999</v>
      </c>
      <c r="F55">
        <f t="shared" si="1"/>
        <v>1</v>
      </c>
    </row>
    <row r="56" spans="1:6" x14ac:dyDescent="0.25">
      <c r="A56" t="s">
        <v>66</v>
      </c>
      <c r="B56" t="s">
        <v>59</v>
      </c>
      <c r="C56" s="2">
        <f>SUMIFS('Links for check'!D:D, 'Links for check'!A:A, A56, 'Links for check'!C:C, "&lt;&gt;LightShip_links")</f>
        <v>0</v>
      </c>
      <c r="D56" s="2">
        <f>SUMIFS('Links for check'!D:D, 'Links for check'!A:A, A56, 'Links for check'!C:C, "LightShip_links")</f>
        <v>9155669.5899999999</v>
      </c>
      <c r="E56" s="2">
        <f t="shared" si="2"/>
        <v>9155669.5899999999</v>
      </c>
      <c r="F56">
        <f t="shared" si="1"/>
        <v>0</v>
      </c>
    </row>
    <row r="57" spans="1:6" x14ac:dyDescent="0.25">
      <c r="A57" t="s">
        <v>67</v>
      </c>
      <c r="B57" t="s">
        <v>59</v>
      </c>
      <c r="C57" s="2">
        <f>SUMIFS('Links for check'!D:D, 'Links for check'!A:A, A57, 'Links for check'!C:C, "&lt;&gt;LightShip_links")</f>
        <v>35563477.549999997</v>
      </c>
      <c r="D57" s="2">
        <f>SUMIFS('Links for check'!D:D, 'Links for check'!A:A, A57, 'Links for check'!C:C, "LightShip_links")</f>
        <v>141175991.96000001</v>
      </c>
      <c r="E57" s="2">
        <f t="shared" si="2"/>
        <v>176739469.50999999</v>
      </c>
      <c r="F57">
        <f t="shared" si="1"/>
        <v>1</v>
      </c>
    </row>
    <row r="58" spans="1:6" x14ac:dyDescent="0.25">
      <c r="A58" t="s">
        <v>68</v>
      </c>
      <c r="B58" t="s">
        <v>59</v>
      </c>
      <c r="C58" s="2">
        <f>SUMIFS('Links for check'!D:D, 'Links for check'!A:A, A58, 'Links for check'!C:C, "&lt;&gt;LightShip_links")</f>
        <v>0</v>
      </c>
      <c r="D58" s="2">
        <f>SUMIFS('Links for check'!D:D, 'Links for check'!A:A, A58, 'Links for check'!C:C, "LightShip_links")</f>
        <v>59977458.530000001</v>
      </c>
      <c r="E58" s="2">
        <f t="shared" si="2"/>
        <v>59977458.530000001</v>
      </c>
      <c r="F58">
        <f t="shared" si="1"/>
        <v>0</v>
      </c>
    </row>
    <row r="59" spans="1:6" x14ac:dyDescent="0.25">
      <c r="A59" t="s">
        <v>69</v>
      </c>
      <c r="B59" t="s">
        <v>59</v>
      </c>
      <c r="C59" s="2">
        <f>SUMIFS('Links for check'!D:D, 'Links for check'!A:A, A59, 'Links for check'!C:C, "&lt;&gt;LightShip_links")</f>
        <v>309663095.67000002</v>
      </c>
      <c r="D59" s="2">
        <f>SUMIFS('Links for check'!D:D, 'Links for check'!A:A, A59, 'Links for check'!C:C, "LightShip_links")</f>
        <v>0</v>
      </c>
      <c r="E59" s="2">
        <f t="shared" si="2"/>
        <v>309663095.67000002</v>
      </c>
      <c r="F59">
        <f t="shared" si="1"/>
        <v>1</v>
      </c>
    </row>
    <row r="60" spans="1:6" x14ac:dyDescent="0.25">
      <c r="A60" t="s">
        <v>70</v>
      </c>
      <c r="B60" t="s">
        <v>59</v>
      </c>
      <c r="C60" s="2">
        <f>SUMIFS('Links for check'!D:D, 'Links for check'!A:A, A60, 'Links for check'!C:C, "&lt;&gt;LightShip_links")</f>
        <v>0</v>
      </c>
      <c r="D60" s="2">
        <f>SUMIFS('Links for check'!D:D, 'Links for check'!A:A, A60, 'Links for check'!C:C, "LightShip_links")</f>
        <v>0</v>
      </c>
      <c r="E60" s="2">
        <f t="shared" si="2"/>
        <v>0</v>
      </c>
      <c r="F60">
        <f t="shared" si="1"/>
        <v>0</v>
      </c>
    </row>
    <row r="61" spans="1:6" x14ac:dyDescent="0.25">
      <c r="A61" t="s">
        <v>71</v>
      </c>
      <c r="B61" t="s">
        <v>59</v>
      </c>
      <c r="C61" s="2">
        <f>SUMIFS('Links for check'!D:D, 'Links for check'!A:A, A61, 'Links for check'!C:C, "&lt;&gt;LightShip_links")</f>
        <v>151848042.24000001</v>
      </c>
      <c r="D61" s="2">
        <f>SUMIFS('Links for check'!D:D, 'Links for check'!A:A, A61, 'Links for check'!C:C, "LightShip_links")</f>
        <v>0</v>
      </c>
      <c r="E61" s="2">
        <f t="shared" si="2"/>
        <v>151848042.24000001</v>
      </c>
      <c r="F61">
        <f t="shared" si="1"/>
        <v>1</v>
      </c>
    </row>
    <row r="62" spans="1:6" x14ac:dyDescent="0.25">
      <c r="A62" t="s">
        <v>72</v>
      </c>
      <c r="B62" t="s">
        <v>59</v>
      </c>
      <c r="C62" s="2">
        <f>SUMIFS('Links for check'!D:D, 'Links for check'!A:A, A62, 'Links for check'!C:C, "&lt;&gt;LightShip_links")</f>
        <v>0</v>
      </c>
      <c r="D62" s="2">
        <f>SUMIFS('Links for check'!D:D, 'Links for check'!A:A, A62, 'Links for check'!C:C, "LightShip_links")</f>
        <v>0</v>
      </c>
      <c r="E62" s="2">
        <f t="shared" si="2"/>
        <v>0</v>
      </c>
      <c r="F62">
        <f t="shared" si="1"/>
        <v>0</v>
      </c>
    </row>
    <row r="63" spans="1:6" x14ac:dyDescent="0.25">
      <c r="A63" t="s">
        <v>73</v>
      </c>
      <c r="B63" t="s">
        <v>59</v>
      </c>
      <c r="C63" s="2">
        <f>SUMIFS('Links for check'!D:D, 'Links for check'!A:A, A63, 'Links for check'!C:C, "&lt;&gt;LightShip_links")</f>
        <v>106913638.38</v>
      </c>
      <c r="D63" s="2">
        <f>SUMIFS('Links for check'!D:D, 'Links for check'!A:A, A63, 'Links for check'!C:C, "LightShip_links")</f>
        <v>0</v>
      </c>
      <c r="E63" s="2">
        <f t="shared" si="2"/>
        <v>106913638.38</v>
      </c>
      <c r="F63">
        <f t="shared" si="1"/>
        <v>1</v>
      </c>
    </row>
    <row r="64" spans="1:6" x14ac:dyDescent="0.25">
      <c r="A64" t="s">
        <v>74</v>
      </c>
      <c r="B64" t="s">
        <v>59</v>
      </c>
      <c r="C64" s="2">
        <f>SUMIFS('Links for check'!D:D, 'Links for check'!A:A, A64, 'Links for check'!C:C, "&lt;&gt;LightShip_links")</f>
        <v>0</v>
      </c>
      <c r="D64" s="2">
        <f>SUMIFS('Links for check'!D:D, 'Links for check'!A:A, A64, 'Links for check'!C:C, "LightShip_links")</f>
        <v>0</v>
      </c>
      <c r="E64" s="2">
        <f t="shared" si="2"/>
        <v>0</v>
      </c>
      <c r="F64">
        <f t="shared" si="1"/>
        <v>0</v>
      </c>
    </row>
    <row r="65" spans="1:6" x14ac:dyDescent="0.25">
      <c r="A65" t="s">
        <v>75</v>
      </c>
      <c r="B65" t="s">
        <v>59</v>
      </c>
      <c r="C65" s="2">
        <f>SUMIFS('Links for check'!D:D, 'Links for check'!A:A, A65, 'Links for check'!C:C, "&lt;&gt;LightShip_links")</f>
        <v>0</v>
      </c>
      <c r="D65" s="2">
        <f>SUMIFS('Links for check'!D:D, 'Links for check'!A:A, A65, 'Links for check'!C:C, "LightShip_links")</f>
        <v>0</v>
      </c>
      <c r="E65" s="2">
        <f t="shared" si="2"/>
        <v>0</v>
      </c>
      <c r="F65">
        <f t="shared" si="1"/>
        <v>0</v>
      </c>
    </row>
    <row r="66" spans="1:6" x14ac:dyDescent="0.25">
      <c r="A66" t="s">
        <v>76</v>
      </c>
      <c r="B66" t="s">
        <v>59</v>
      </c>
      <c r="C66" s="2">
        <f>SUMIFS('Links for check'!D:D, 'Links for check'!A:A, A66, 'Links for check'!C:C, "&lt;&gt;LightShip_links")</f>
        <v>0</v>
      </c>
      <c r="D66" s="2">
        <f>SUMIFS('Links for check'!D:D, 'Links for check'!A:A, A66, 'Links for check'!C:C, "LightShip_links")</f>
        <v>0</v>
      </c>
      <c r="E66" s="2">
        <f t="shared" ref="E66:E69" si="3">C66+D66</f>
        <v>0</v>
      </c>
      <c r="F66">
        <f t="shared" si="1"/>
        <v>0</v>
      </c>
    </row>
    <row r="67" spans="1:6" x14ac:dyDescent="0.25">
      <c r="A67" t="s">
        <v>77</v>
      </c>
      <c r="B67" t="s">
        <v>59</v>
      </c>
      <c r="C67" s="2">
        <f>SUMIFS('Links for check'!D:D, 'Links for check'!A:A, A67, 'Links for check'!C:C, "&lt;&gt;LightShip_links")</f>
        <v>151605500.46000001</v>
      </c>
      <c r="D67" s="2">
        <f>SUMIFS('Links for check'!D:D, 'Links for check'!A:A, A67, 'Links for check'!C:C, "LightShip_links")</f>
        <v>0</v>
      </c>
      <c r="E67" s="2">
        <f t="shared" si="3"/>
        <v>151605500.46000001</v>
      </c>
      <c r="F67">
        <f t="shared" ref="F67:F69" si="4">IF(C67&gt;0,1,0)</f>
        <v>1</v>
      </c>
    </row>
    <row r="68" spans="1:6" x14ac:dyDescent="0.25">
      <c r="A68" t="s">
        <v>78</v>
      </c>
      <c r="B68" t="s">
        <v>59</v>
      </c>
      <c r="C68" s="2">
        <f>SUMIFS('Links for check'!D:D, 'Links for check'!A:A, A68, 'Links for check'!C:C, "&lt;&gt;LightShip_links")</f>
        <v>0</v>
      </c>
      <c r="D68" s="2">
        <f>SUMIFS('Links for check'!D:D, 'Links for check'!A:A, A68, 'Links for check'!C:C, "LightShip_links")</f>
        <v>0</v>
      </c>
      <c r="E68" s="2">
        <f t="shared" si="3"/>
        <v>0</v>
      </c>
      <c r="F68">
        <f t="shared" si="4"/>
        <v>0</v>
      </c>
    </row>
    <row r="69" spans="1:6" x14ac:dyDescent="0.25">
      <c r="A69" t="s">
        <v>79</v>
      </c>
      <c r="B69" t="s">
        <v>59</v>
      </c>
      <c r="C69" s="2">
        <f>SUMIFS('Links for check'!D:D, 'Links for check'!A:A, A69, 'Links for check'!C:C, "&lt;&gt;LightShip_links")</f>
        <v>0</v>
      </c>
      <c r="D69" s="2">
        <f>SUMIFS('Links for check'!D:D, 'Links for check'!A:A, A69, 'Links for check'!C:C, "LightShip_links")</f>
        <v>0</v>
      </c>
      <c r="E69" s="2">
        <f t="shared" si="3"/>
        <v>0</v>
      </c>
      <c r="F69">
        <f t="shared" si="4"/>
        <v>0</v>
      </c>
    </row>
    <row r="70" spans="1:6" x14ac:dyDescent="0.25">
      <c r="B70" s="3" t="s">
        <v>372</v>
      </c>
      <c r="C70" s="4">
        <f>SUM(C2:C69)</f>
        <v>17760831500.119995</v>
      </c>
      <c r="D70" s="4">
        <f>SUM(D2:D69)</f>
        <v>1421396731.96</v>
      </c>
      <c r="E70" s="4">
        <f>SUM(E2:E69)</f>
        <v>19182228232.079994</v>
      </c>
      <c r="F70">
        <f>SUM(F2:F69)</f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Main</vt:lpstr>
      <vt:lpstr>Links for check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Антон Шутов</cp:lastModifiedBy>
  <dcterms:created xsi:type="dcterms:W3CDTF">2025-04-07T21:41:36Z</dcterms:created>
  <dcterms:modified xsi:type="dcterms:W3CDTF">2025-04-09T19:25:36Z</dcterms:modified>
</cp:coreProperties>
</file>